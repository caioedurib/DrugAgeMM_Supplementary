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aio\Documents\MMDrugAge_Supplementary\DrugAgeMM_Supplementary\Analysis\"/>
    </mc:Choice>
  </mc:AlternateContent>
  <xr:revisionPtr revIDLastSave="0" documentId="13_ncr:1_{D1313AAF-C4D2-4B2A-ABDB-F0DA6CDDE098}" xr6:coauthVersionLast="47" xr6:coauthVersionMax="47" xr10:uidLastSave="{00000000-0000-0000-0000-000000000000}"/>
  <bookViews>
    <workbookView xWindow="-28920" yWindow="-120" windowWidth="29040" windowHeight="15840" xr2:uid="{5B6F241A-DED6-4073-B84C-4231F2885DB2}"/>
  </bookViews>
  <sheets>
    <sheet name="Clustering UMAP plot" sheetId="4" r:id="rId1"/>
    <sheet name="Frequent Targets per Group" sheetId="6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7" i="6" l="1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56" i="6"/>
  <c r="C458" i="6"/>
  <c r="C562" i="6"/>
  <c r="C563" i="6"/>
  <c r="C564" i="6"/>
  <c r="C565" i="6"/>
  <c r="C560" i="6"/>
  <c r="C561" i="6"/>
  <c r="C566" i="6"/>
  <c r="C567" i="6"/>
  <c r="C568" i="6"/>
  <c r="C569" i="6"/>
  <c r="C570" i="6"/>
  <c r="C571" i="6"/>
  <c r="C572" i="6"/>
  <c r="C573" i="6"/>
  <c r="C559" i="6"/>
  <c r="C531" i="6"/>
  <c r="C532" i="6"/>
  <c r="C533" i="6"/>
  <c r="C540" i="6"/>
  <c r="C534" i="6"/>
  <c r="C541" i="6"/>
  <c r="C542" i="6"/>
  <c r="C543" i="6"/>
  <c r="C544" i="6"/>
  <c r="C545" i="6"/>
  <c r="C546" i="6"/>
  <c r="C535" i="6"/>
  <c r="C536" i="6"/>
  <c r="C537" i="6"/>
  <c r="C547" i="6"/>
  <c r="C548" i="6"/>
  <c r="C530" i="6"/>
  <c r="C538" i="6"/>
  <c r="C549" i="6"/>
  <c r="C529" i="6"/>
  <c r="C539" i="6"/>
  <c r="C550" i="6"/>
  <c r="C552" i="6"/>
  <c r="C553" i="6"/>
  <c r="C554" i="6"/>
  <c r="C555" i="6"/>
  <c r="C556" i="6"/>
  <c r="C551" i="6"/>
  <c r="C482" i="6"/>
  <c r="C469" i="6"/>
  <c r="C493" i="6"/>
  <c r="C470" i="6"/>
  <c r="C499" i="6"/>
  <c r="C500" i="6"/>
  <c r="C501" i="6"/>
  <c r="C472" i="6"/>
  <c r="C473" i="6"/>
  <c r="C477" i="6"/>
  <c r="C474" i="6"/>
  <c r="C479" i="6"/>
  <c r="C481" i="6"/>
  <c r="C502" i="6"/>
  <c r="C471" i="6"/>
  <c r="C475" i="6"/>
  <c r="C476" i="6"/>
  <c r="C486" i="6"/>
  <c r="C484" i="6"/>
  <c r="C487" i="6"/>
  <c r="C478" i="6"/>
  <c r="C503" i="6"/>
  <c r="C494" i="6"/>
  <c r="C495" i="6"/>
  <c r="C488" i="6"/>
  <c r="C483" i="6"/>
  <c r="C489" i="6"/>
  <c r="C485" i="6"/>
  <c r="C480" i="6"/>
  <c r="C490" i="6"/>
  <c r="C491" i="6"/>
  <c r="C492" i="6"/>
  <c r="C504" i="6"/>
  <c r="C505" i="6"/>
  <c r="C506" i="6"/>
  <c r="C507" i="6"/>
  <c r="C508" i="6"/>
  <c r="C509" i="6"/>
  <c r="C510" i="6"/>
  <c r="C511" i="6"/>
  <c r="C512" i="6"/>
  <c r="C513" i="6"/>
  <c r="C496" i="6"/>
  <c r="C514" i="6"/>
  <c r="C515" i="6"/>
  <c r="C516" i="6"/>
  <c r="C497" i="6"/>
  <c r="C517" i="6"/>
  <c r="C518" i="6"/>
  <c r="C519" i="6"/>
  <c r="C520" i="6"/>
  <c r="C521" i="6"/>
  <c r="C498" i="6"/>
  <c r="C522" i="6"/>
  <c r="C523" i="6"/>
  <c r="C524" i="6"/>
  <c r="C525" i="6"/>
  <c r="C526" i="6"/>
  <c r="C468" i="6"/>
  <c r="C456" i="6"/>
  <c r="C457" i="6"/>
  <c r="C452" i="6"/>
  <c r="C453" i="6"/>
  <c r="C454" i="6"/>
  <c r="C455" i="6"/>
  <c r="C459" i="6"/>
  <c r="C460" i="6"/>
  <c r="C462" i="6"/>
  <c r="C463" i="6"/>
  <c r="C464" i="6"/>
  <c r="C465" i="6"/>
  <c r="C461" i="6"/>
  <c r="C380" i="6"/>
  <c r="C279" i="6"/>
  <c r="C280" i="6"/>
  <c r="C281" i="6"/>
  <c r="C307" i="6"/>
  <c r="C231" i="6"/>
  <c r="C255" i="6"/>
  <c r="C256" i="6"/>
  <c r="C266" i="6"/>
  <c r="C257" i="6"/>
  <c r="C267" i="6"/>
  <c r="C268" i="6"/>
  <c r="C269" i="6"/>
  <c r="C270" i="6"/>
  <c r="C271" i="6"/>
  <c r="C272" i="6"/>
  <c r="C258" i="6"/>
  <c r="C259" i="6"/>
  <c r="C260" i="6"/>
  <c r="C273" i="6"/>
  <c r="C274" i="6"/>
  <c r="C308" i="6"/>
  <c r="C309" i="6"/>
  <c r="C381" i="6"/>
  <c r="C382" i="6"/>
  <c r="C383" i="6"/>
  <c r="C310" i="6"/>
  <c r="C311" i="6"/>
  <c r="C282" i="6"/>
  <c r="C283" i="6"/>
  <c r="C284" i="6"/>
  <c r="C285" i="6"/>
  <c r="C286" i="6"/>
  <c r="C287" i="6"/>
  <c r="C288" i="6"/>
  <c r="C289" i="6"/>
  <c r="C261" i="6"/>
  <c r="C262" i="6"/>
  <c r="C290" i="6"/>
  <c r="C291" i="6"/>
  <c r="C229" i="6"/>
  <c r="C233" i="6"/>
  <c r="C238" i="6"/>
  <c r="C239" i="6"/>
  <c r="C240" i="6"/>
  <c r="C234" i="6"/>
  <c r="C241" i="6"/>
  <c r="C242" i="6"/>
  <c r="C243" i="6"/>
  <c r="C235" i="6"/>
  <c r="C263" i="6"/>
  <c r="C236" i="6"/>
  <c r="C232" i="6"/>
  <c r="C244" i="6"/>
  <c r="C292" i="6"/>
  <c r="C312" i="6"/>
  <c r="C313" i="6"/>
  <c r="C314" i="6"/>
  <c r="C315" i="6"/>
  <c r="C293" i="6"/>
  <c r="C316" i="6"/>
  <c r="C317" i="6"/>
  <c r="C318" i="6"/>
  <c r="C319" i="6"/>
  <c r="C320" i="6"/>
  <c r="C321" i="6"/>
  <c r="C322" i="6"/>
  <c r="C323" i="6"/>
  <c r="C324" i="6"/>
  <c r="C294" i="6"/>
  <c r="C295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264" i="6"/>
  <c r="C341" i="6"/>
  <c r="C296" i="6"/>
  <c r="C342" i="6"/>
  <c r="C297" i="6"/>
  <c r="C343" i="6"/>
  <c r="C344" i="6"/>
  <c r="C345" i="6"/>
  <c r="C346" i="6"/>
  <c r="C347" i="6"/>
  <c r="C348" i="6"/>
  <c r="C298" i="6"/>
  <c r="C245" i="6"/>
  <c r="C275" i="6"/>
  <c r="C276" i="6"/>
  <c r="C246" i="6"/>
  <c r="C247" i="6"/>
  <c r="C248" i="6"/>
  <c r="C249" i="6"/>
  <c r="C250" i="6"/>
  <c r="C251" i="6"/>
  <c r="C237" i="6"/>
  <c r="C252" i="6"/>
  <c r="C253" i="6"/>
  <c r="C254" i="6"/>
  <c r="C349" i="6"/>
  <c r="C350" i="6"/>
  <c r="C351" i="6"/>
  <c r="C352" i="6"/>
  <c r="C353" i="6"/>
  <c r="C384" i="6"/>
  <c r="C385" i="6"/>
  <c r="C386" i="6"/>
  <c r="C387" i="6"/>
  <c r="C388" i="6"/>
  <c r="C389" i="6"/>
  <c r="C390" i="6"/>
  <c r="C391" i="6"/>
  <c r="C392" i="6"/>
  <c r="C393" i="6"/>
  <c r="C394" i="6"/>
  <c r="C354" i="6"/>
  <c r="C355" i="6"/>
  <c r="C395" i="6"/>
  <c r="C299" i="6"/>
  <c r="C396" i="6"/>
  <c r="C300" i="6"/>
  <c r="C356" i="6"/>
  <c r="C265" i="6"/>
  <c r="C397" i="6"/>
  <c r="C357" i="6"/>
  <c r="C358" i="6"/>
  <c r="C398" i="6"/>
  <c r="C301" i="6"/>
  <c r="C277" i="6"/>
  <c r="C359" i="6"/>
  <c r="C302" i="6"/>
  <c r="C230" i="6"/>
  <c r="C278" i="6"/>
  <c r="C360" i="6"/>
  <c r="C361" i="6"/>
  <c r="C303" i="6"/>
  <c r="C362" i="6"/>
  <c r="C399" i="6"/>
  <c r="C400" i="6"/>
  <c r="C401" i="6"/>
  <c r="C402" i="6"/>
  <c r="C403" i="6"/>
  <c r="C363" i="6"/>
  <c r="C404" i="6"/>
  <c r="C405" i="6"/>
  <c r="C304" i="6"/>
  <c r="C406" i="6"/>
  <c r="C364" i="6"/>
  <c r="C407" i="6"/>
  <c r="C365" i="6"/>
  <c r="C408" i="6"/>
  <c r="C409" i="6"/>
  <c r="C410" i="6"/>
  <c r="C305" i="6"/>
  <c r="C366" i="6"/>
  <c r="C367" i="6"/>
  <c r="C368" i="6"/>
  <c r="C369" i="6"/>
  <c r="C306" i="6"/>
  <c r="C370" i="6"/>
  <c r="C371" i="6"/>
  <c r="C372" i="6"/>
  <c r="C411" i="6"/>
  <c r="C412" i="6"/>
  <c r="C413" i="6"/>
  <c r="C373" i="6"/>
  <c r="C374" i="6"/>
  <c r="C375" i="6"/>
  <c r="C376" i="6"/>
  <c r="C414" i="6"/>
  <c r="C377" i="6"/>
  <c r="C415" i="6"/>
  <c r="C416" i="6"/>
  <c r="C417" i="6"/>
  <c r="C418" i="6"/>
  <c r="C419" i="6"/>
  <c r="C378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379" i="6"/>
  <c r="C442" i="6"/>
  <c r="C443" i="6"/>
  <c r="C444" i="6"/>
  <c r="C445" i="6"/>
  <c r="C446" i="6"/>
  <c r="C447" i="6"/>
  <c r="C448" i="6"/>
  <c r="C449" i="6"/>
  <c r="C228" i="6"/>
  <c r="C104" i="6"/>
  <c r="C114" i="6"/>
  <c r="C105" i="6"/>
  <c r="C83" i="6"/>
  <c r="C160" i="6"/>
  <c r="C161" i="6"/>
  <c r="C139" i="6"/>
  <c r="C112" i="6"/>
  <c r="C113" i="6"/>
  <c r="C117" i="6"/>
  <c r="C86" i="6"/>
  <c r="C91" i="6"/>
  <c r="C99" i="6"/>
  <c r="C90" i="6"/>
  <c r="C93" i="6"/>
  <c r="C92" i="6"/>
  <c r="C140" i="6"/>
  <c r="C162" i="6"/>
  <c r="C103" i="6"/>
  <c r="C95" i="6"/>
  <c r="C150" i="6"/>
  <c r="C119" i="6"/>
  <c r="C87" i="6"/>
  <c r="C120" i="6"/>
  <c r="C115" i="6"/>
  <c r="C163" i="6"/>
  <c r="C164" i="6"/>
  <c r="C136" i="6"/>
  <c r="C123" i="6"/>
  <c r="C131" i="6"/>
  <c r="C124" i="6"/>
  <c r="C132" i="6"/>
  <c r="C128" i="6"/>
  <c r="C121" i="6"/>
  <c r="C133" i="6"/>
  <c r="C88" i="6"/>
  <c r="C96" i="6"/>
  <c r="C110" i="6"/>
  <c r="C85" i="6"/>
  <c r="C97" i="6"/>
  <c r="C107" i="6"/>
  <c r="C94" i="6"/>
  <c r="C84" i="6"/>
  <c r="C111" i="6"/>
  <c r="C106" i="6"/>
  <c r="C89" i="6"/>
  <c r="C98" i="6"/>
  <c r="C102" i="6"/>
  <c r="C101" i="6"/>
  <c r="C108" i="6"/>
  <c r="C141" i="6"/>
  <c r="C109" i="6"/>
  <c r="C122" i="6"/>
  <c r="C125" i="6"/>
  <c r="C126" i="6"/>
  <c r="C127" i="6"/>
  <c r="C100" i="6"/>
  <c r="C118" i="6"/>
  <c r="C116" i="6"/>
  <c r="C134" i="6"/>
  <c r="C129" i="6"/>
  <c r="C135" i="6"/>
  <c r="C165" i="6"/>
  <c r="C166" i="6"/>
  <c r="C167" i="6"/>
  <c r="C168" i="6"/>
  <c r="C169" i="6"/>
  <c r="C130" i="6"/>
  <c r="C170" i="6"/>
  <c r="C171" i="6"/>
  <c r="C151" i="6"/>
  <c r="C172" i="6"/>
  <c r="C143" i="6"/>
  <c r="C137" i="6"/>
  <c r="C144" i="6"/>
  <c r="C145" i="6"/>
  <c r="C146" i="6"/>
  <c r="C142" i="6"/>
  <c r="C147" i="6"/>
  <c r="C148" i="6"/>
  <c r="C173" i="6"/>
  <c r="C174" i="6"/>
  <c r="C175" i="6"/>
  <c r="C176" i="6"/>
  <c r="C149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52" i="6"/>
  <c r="C153" i="6"/>
  <c r="C154" i="6"/>
  <c r="C155" i="6"/>
  <c r="C156" i="6"/>
  <c r="C157" i="6"/>
  <c r="C158" i="6"/>
  <c r="C159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138" i="6"/>
</calcChain>
</file>

<file path=xl/sharedStrings.xml><?xml version="1.0" encoding="utf-8"?>
<sst xmlns="http://schemas.openxmlformats.org/spreadsheetml/2006/main" count="2493" uniqueCount="1669">
  <si>
    <t>DB00195, DB00221, DB00335, DB00373, DB00521, DB00612, DB01193, DB01203, DB01210, DB01214, DB01291, DB09013</t>
  </si>
  <si>
    <t>DB00372, DB01425, DB04857, DB09018, DB09224, DB12518, DB12579</t>
  </si>
  <si>
    <t>DB00391</t>
  </si>
  <si>
    <t>Sulpiride</t>
  </si>
  <si>
    <t>DB00489</t>
  </si>
  <si>
    <t>Sotalol</t>
  </si>
  <si>
    <t>DB00568</t>
  </si>
  <si>
    <t>Cinnarizine</t>
  </si>
  <si>
    <t>DB00785</t>
  </si>
  <si>
    <t>Cryptenamine</t>
  </si>
  <si>
    <t>DB01064</t>
  </si>
  <si>
    <t>Isoprenaline</t>
  </si>
  <si>
    <t>DB01182</t>
  </si>
  <si>
    <t>Propafenone</t>
  </si>
  <si>
    <t>DB01295</t>
  </si>
  <si>
    <t>Bevantolol</t>
  </si>
  <si>
    <t>DB01549</t>
  </si>
  <si>
    <t>Rolicyclidine</t>
  </si>
  <si>
    <t>DB05241</t>
  </si>
  <si>
    <t>XL765</t>
  </si>
  <si>
    <t>DB05766</t>
  </si>
  <si>
    <t>Norclozapine</t>
  </si>
  <si>
    <t>DB06477</t>
  </si>
  <si>
    <t>Sumanirole</t>
  </si>
  <si>
    <t>DB11274</t>
  </si>
  <si>
    <t>Dihydro-alpha-ergocryptine</t>
  </si>
  <si>
    <t>DB00217</t>
  </si>
  <si>
    <t>Bethanidine</t>
  </si>
  <si>
    <t>DB00397</t>
  </si>
  <si>
    <t>Phenylpropanolamine</t>
  </si>
  <si>
    <t>DB01365</t>
  </si>
  <si>
    <t>Mephentermine</t>
  </si>
  <si>
    <t>DB04846</t>
  </si>
  <si>
    <t>Celiprolol</t>
  </si>
  <si>
    <t>DB11124</t>
  </si>
  <si>
    <t>Racepinephrine</t>
  </si>
  <si>
    <t>DB11278</t>
  </si>
  <si>
    <t>DL-Methylephedrine</t>
  </si>
  <si>
    <t>DB00571, DB00960, DB08807</t>
  </si>
  <si>
    <t>DB00866</t>
  </si>
  <si>
    <t>Alprenolol</t>
  </si>
  <si>
    <t>DB01359</t>
  </si>
  <si>
    <t>Penbutolol</t>
  </si>
  <si>
    <t>DB01184, DB12478</t>
  </si>
  <si>
    <t>DB06454</t>
  </si>
  <si>
    <t>Sarizotan</t>
  </si>
  <si>
    <t>DB09097</t>
  </si>
  <si>
    <t>Quinagolide</t>
  </si>
  <si>
    <t>DB12093</t>
  </si>
  <si>
    <t>Tetrahydropalmatine</t>
  </si>
  <si>
    <t>P08588, P07550</t>
  </si>
  <si>
    <t>P14416</t>
  </si>
  <si>
    <t>P00918, P21917, P35462, P14416, P07451</t>
  </si>
  <si>
    <t>Q12809, P08588, P07550</t>
  </si>
  <si>
    <t>Q9P0X4, Q13936, P35367, O43497, P14416, O95180, Q13698, O60840, Q01668, P21728, P21918, P11229, P08172, P20309, P08173, P08912</t>
  </si>
  <si>
    <t>P08172, P08588, P07550, P13945</t>
  </si>
  <si>
    <t>P08588, P07550, P13945, P00441</t>
  </si>
  <si>
    <t>Q12809, P08588, Q14524, P07550</t>
  </si>
  <si>
    <t>P08588, P35348, P07550</t>
  </si>
  <si>
    <t>Q8TCU5, P14416</t>
  </si>
  <si>
    <t>P48736, P42336, P42345, O00329, P42338</t>
  </si>
  <si>
    <t>P11229, P35462, P14416</t>
  </si>
  <si>
    <t>P21917, P35462, P14416</t>
  </si>
  <si>
    <t>P35462, P14416, P21728, P21918</t>
  </si>
  <si>
    <t>P42336</t>
  </si>
  <si>
    <t>P48048, P08913, P18089, P18825, P08588, P07550, P13945</t>
  </si>
  <si>
    <t>P21728, P08588, P07550, P08913, P18089, P18825</t>
  </si>
  <si>
    <t>P08588, P07550, P13945, P35348, P35368, P25100, P08913, P18089, P18825</t>
  </si>
  <si>
    <t>P08588, P08913, P18825, P18089, P07550, P13945</t>
  </si>
  <si>
    <t>P08588, P08913, P18825, P35348, P18089, P35368, P07550, P25100, P13945</t>
  </si>
  <si>
    <t>P08588, P08913, P08588, P07550, P13945, P35348, P35368, P25100, P08913, P18089, P18825</t>
  </si>
  <si>
    <t>P08588, P08908, P07550, P28222, P13945</t>
  </si>
  <si>
    <t>P08588, P08908, P07550, P13945</t>
  </si>
  <si>
    <t>P08588, P08908, P07550, P28222</t>
  </si>
  <si>
    <t>P35462, P14416</t>
  </si>
  <si>
    <t>P08908, P35462, P14416</t>
  </si>
  <si>
    <t>P14416, P21728, P21918</t>
  </si>
  <si>
    <t>P21728, P14416</t>
  </si>
  <si>
    <t>DB00182</t>
  </si>
  <si>
    <t>Amphetamine</t>
  </si>
  <si>
    <t>Q05940, P23975, Q01959, P31645, P14416, Q16568, Q96RJ0, P27338, P08588, P07550, P13945, P35348, P35368, P25100, P08913, P18089, P18825, P21397, P27338</t>
  </si>
  <si>
    <t>Ephedra sinica root</t>
  </si>
  <si>
    <t>DB00193</t>
  </si>
  <si>
    <t>Tramadol</t>
  </si>
  <si>
    <t>P30542, P20309, P11229, P25103, P41143, P23975, P28335, P41145, P31645, P35372, Q8NER1, Q99250, P36544, P08913, P18089, P18825, Q05586, Q12879, Q13224, Q14957, O15399, Q8TCU5, O60391</t>
  </si>
  <si>
    <t>Ketamine</t>
  </si>
  <si>
    <t>DB00204</t>
  </si>
  <si>
    <t>Dofetilide</t>
  </si>
  <si>
    <t>Q12809, O95069, Q14500</t>
  </si>
  <si>
    <t>Azimilide</t>
  </si>
  <si>
    <t>DB00228</t>
  </si>
  <si>
    <t>Enflurane</t>
  </si>
  <si>
    <t>P98194, P23415, O14983, P14867, P47869, P34903, P48169, P31644, Q16445, P18505, P47870, P28472, O14764, P78334, Q8N1C3, P18507, Q99928, O00591, Q9UN88, Q05586, Q12879, Q13224, Q14957, O15399, Q8TCU5, O60391, Q06432, Q9Y698, O60359, Q9UBN1, Q9UF02, Q9BXT2, P62955, Q8WXS5, P54289, Q9NY47, Q8IZS8, Q7Z3S7, Q13936, Q01668, O60840, Q13698, Q02641, Q08289, P54284, O00305, Q00975, O00555, Q15878, O43497, O95180, Q9P0X4, Q09470, Q16322, P16389, P22001, P22459, P22460, P17658, Q14721, Q92953, P48547, Q96PR1, Q14003, Q03721, Q9NSA2, Q9NZV8, Q9UK17, P15382, Q9Y6J6, Q9Y6H6, Q8WWG9, Q9UJ90, Q9H3M0, Q9UIX4, Q9UJ96, Q8TAE7, Q8TDN1, O95259, Q12809, Q9ULD8, Q9UQ05, Q8NCM2, Q9H252, Q9NS40, Q96L42, P51787, O43526, O43525, P56696, Q9NR82, Q96KK3, Q9BQ31, Q6PIU1, Q8TDN2, Q14722, Q13303</t>
  </si>
  <si>
    <t>Halothane</t>
  </si>
  <si>
    <t>DB00243</t>
  </si>
  <si>
    <t>Ranolazine</t>
  </si>
  <si>
    <t>P08588, P35348, P35368, P25100, P35498, Q9Y5Y9, Q9UI33, Q99250, Q9NY46, P35499, Q14524, Q01118, Q9UQD0, Q15858, Q07699, O60939, Q9NY72, Q8IWT1, Q14500, Q9UNX9, P63252, P48050, Q13936, Q01668, O60840, Q13698, Q02641, Q08289, P54284, O00305</t>
  </si>
  <si>
    <t>Pentoxyverine</t>
  </si>
  <si>
    <t>DB00268</t>
  </si>
  <si>
    <t>Ropinirole</t>
  </si>
  <si>
    <t>P21917, P35462, P14416, P35348, P35368, P25100, P08913, P18089, P18825</t>
  </si>
  <si>
    <t>Buspirone</t>
  </si>
  <si>
    <t>DB00273</t>
  </si>
  <si>
    <t>Topiramate</t>
  </si>
  <si>
    <t>P00915, P00918, P22748, P14867, P07451, Q15878, P35498, Q9Y5Y9, Q9UI33, Q99250, Q9NY46, P35499, Q14524, Q01118, Q9UQD0, Q15858, Q13936, Q01668, O60840, Q13698, Q02641, Q08289, P54284, O00305, P39086, Q13002, Q13003, Q16099, Q16478</t>
  </si>
  <si>
    <t>DB00280</t>
  </si>
  <si>
    <t>Disopyramide</t>
  </si>
  <si>
    <t>P20309, Q12809, P11229, Q14524, P08172, Q9NZV8, Q9UK17, P19652</t>
  </si>
  <si>
    <t>Quinidine</t>
  </si>
  <si>
    <t>DB00292</t>
  </si>
  <si>
    <t>Etomidate</t>
  </si>
  <si>
    <t>P18089, P14867, P14867, P47869, P34903, P48169, P31644, Q16445, P18505, P47870, P28472, O14764, P78334, Q8N1C3, P18507, Q99928, O00591, Q9UN88</t>
  </si>
  <si>
    <t>Midazolam</t>
  </si>
  <si>
    <t>DB00321</t>
  </si>
  <si>
    <t>Amitriptyline</t>
  </si>
  <si>
    <t>P25021, Q9H3N8, Q99720, P08913, P08908, P41143, P35367, P28223, P23975, P35348, P28335, P35368, P41145, P34969, P28221, P25100, P31645, P35372, Q09470, P28222, O43526, P50406, P04629, O43525, Q16620, P11229, P08172, P20309, P08173, P08912, Q12809, Q9H252, Q9NS40</t>
  </si>
  <si>
    <t>Doxepin</t>
  </si>
  <si>
    <t>DB00334</t>
  </si>
  <si>
    <t>Olanzapine</t>
  </si>
  <si>
    <t>P21728, P20309, P11229, P21918, P46098, P21917, P08173, P35367, P28223, P35348, P28335, P08172, P35368, P35462, P14416, P50406, P08588, P07550, P13945, P21728, P21918, P08908, P28222, P28221, P28566, P30939, P14867, P47869, P34903, P31644, Q8N1C3, P18507, Q99928</t>
  </si>
  <si>
    <t>DB00342</t>
  </si>
  <si>
    <t>Terfenadine</t>
  </si>
  <si>
    <t>P20309, Q12809, P11229, P08912, P08173, P35367, P08172</t>
  </si>
  <si>
    <t>DB00363</t>
  </si>
  <si>
    <t>Clozapine</t>
  </si>
  <si>
    <t>P21728, P20309, P11229, P21918, Q9H3N8, Q9UBS5, P08912, P08913, P08908, P46098, P18825, P21917, P08173, P35367, P28223, P28566, P35348, P28335, P08172, P18089, P35368, P35462, P34969, P28221, Q9NYX4, P14416, P14867, P28222, P09211, P50406, O75899, P18505, Q8N1C3</t>
  </si>
  <si>
    <t>Aripiprazole lauroxil</t>
  </si>
  <si>
    <t>DB00368</t>
  </si>
  <si>
    <t>Norepinephrine</t>
  </si>
  <si>
    <t>Q05940, P08588, P08913, P18825, P35348, P18089, P35368, P07550, P25100, P00439, P13945, P54219</t>
  </si>
  <si>
    <t>Droxidopa</t>
  </si>
  <si>
    <t>DB00370</t>
  </si>
  <si>
    <t>Mirtazapine</t>
  </si>
  <si>
    <t>Epinastine</t>
  </si>
  <si>
    <t>DB00408</t>
  </si>
  <si>
    <t>Loxapine</t>
  </si>
  <si>
    <t>P21728, P20309, P11229, P25021, P21918, Q9H3N8, P08588, P08912, P08913, P08908, P46098, P18825, P21917, P08173, P35367, P28223, P28566, P23975, P35348, P28335, P08172, P18089, P35368, P35462, Q01959, P34969, P28221, P31645, P14416, P28222, P50406, P47898, P21728, P21918</t>
  </si>
  <si>
    <t>Trimipramine</t>
  </si>
  <si>
    <t>DB00409</t>
  </si>
  <si>
    <t>Remoxipride</t>
  </si>
  <si>
    <t>Q99720, P21917, P28223, P35462, P14416</t>
  </si>
  <si>
    <t>Blonanserin</t>
  </si>
  <si>
    <t>DB00413</t>
  </si>
  <si>
    <t>Pramipexole</t>
  </si>
  <si>
    <t>P08913, P08908, P21917, P35462, P14416</t>
  </si>
  <si>
    <t>Pardoprunox</t>
  </si>
  <si>
    <t>DB00433</t>
  </si>
  <si>
    <t>Prochlorperazine</t>
  </si>
  <si>
    <t>P35367, P14416, P35348, P35368, P25100, P08913, P18089, P18825</t>
  </si>
  <si>
    <t>Ocaperidone</t>
  </si>
  <si>
    <t>DB00434</t>
  </si>
  <si>
    <t>Cyproheptadine</t>
  </si>
  <si>
    <t>P20309, P11229, P25021, P41595, P35367, P28223, P28335, P08172, P34969</t>
  </si>
  <si>
    <t>DB00449</t>
  </si>
  <si>
    <t>Dipivefrin</t>
  </si>
  <si>
    <t>P08913, P22303, P35348, P07550, P06276</t>
  </si>
  <si>
    <t>DB00454</t>
  </si>
  <si>
    <t>Meperidine</t>
  </si>
  <si>
    <t>Q05586, O15399, Q13224, Q14957, P23975, P41145, Q01959, P31645, Q12879, P35372, P23141, P11229, P08172, P20309, P08173, P08912</t>
  </si>
  <si>
    <t>Aripiprazole</t>
  </si>
  <si>
    <t>DB00455, DB00557</t>
  </si>
  <si>
    <t>Q12809, P35367</t>
  </si>
  <si>
    <t>DB00457</t>
  </si>
  <si>
    <t>Prazosin</t>
  </si>
  <si>
    <t>Q12809, P08913, P35348, P18089, P35368, P25100, P35348, P35368, P25100</t>
  </si>
  <si>
    <t>DB00458</t>
  </si>
  <si>
    <t>Imipramine</t>
  </si>
  <si>
    <t>P20309, Q12809, P11229, P08912, P08908, P08173, P35367, P28223, P23975, P35348, P28335, P08172, P35368, Q01959, P34969, P25100, P31645, P14416, P50406, Q9NZV8, Q9UK17, P19652, P21728, P21918, O95259</t>
  </si>
  <si>
    <t>Mianserin</t>
  </si>
  <si>
    <t>DB00472</t>
  </si>
  <si>
    <t>Fluoxetine</t>
  </si>
  <si>
    <t>Q12809, P28335, Q15822, P31645, P30926, P32297, P61024</t>
  </si>
  <si>
    <t>Nefazodone</t>
  </si>
  <si>
    <t>DB00490</t>
  </si>
  <si>
    <t>P08908, P21917, P35462, P14416, P35348, P35368, P25100</t>
  </si>
  <si>
    <t>DB00502</t>
  </si>
  <si>
    <t>Haloperidol</t>
  </si>
  <si>
    <t>P21728, P20309, Q05940, Q99720, P08913, P08908, P18825, Q13224, P35367, P28223, P35348, P28335, P18089, P35462, P34969, P14416, P50406, Q99705</t>
  </si>
  <si>
    <t>DB00508</t>
  </si>
  <si>
    <t>Triflupromazine</t>
  </si>
  <si>
    <t>P21728, P11229, P41595, P08172, P14416</t>
  </si>
  <si>
    <t>Thiothixene</t>
  </si>
  <si>
    <t>DB00540</t>
  </si>
  <si>
    <t>Nortriptyline</t>
  </si>
  <si>
    <t>P08908, P35367, P28223, P23975, P35348, P28335, P35368, P25100, P31645, P14416, P08913, P18089, P18825, P08588, P07550, P13945, P11229, P08172, P20309, P08173, P08912, O00264, Q99720</t>
  </si>
  <si>
    <t>Desipramine</t>
  </si>
  <si>
    <t>DB00543</t>
  </si>
  <si>
    <t>Amoxapine</t>
  </si>
  <si>
    <t>P21728, P11229, Q9H3N8, P08913, P08908, P46098, P21917, P41595, P35367, P28223, P23975, P35348, P28335, P35462, Q01959, P34969, P31645, P14416, P14867, P28222, P50406, P14867, P47869, P34903, P48169, P31644, Q16445, P18505, P47870, P28472, O14764, P78334, Q8N1C3, P18507, Q99928, O00591, Q9UN88, P35348, P35368, P25100, P08913, P18089, P18825, P11229, P08172, P20309, P08173, P08912</t>
  </si>
  <si>
    <t>DB00555</t>
  </si>
  <si>
    <t>Lamotrigine</t>
  </si>
  <si>
    <t>P30542, P08588, P08913, P46098, P35367, P28223, P35348, P41145, P42261, P14416, P29274, P02708, P14867, P47869, P34903, P48169, P31644, Q16445, P18505, P47870, P28472, O14764, P78334, Q8N1C3, P18507, Q99928, O00591, Q9UN88, P21728, P21918, P14867, P47869, P34903, P31644, Q8N1C3, P18507, Q99928, Q15878, P35498, Q9Y5Y9, Q9UI33, Q99250, Q9NY46, P35499, Q14524, Q01118, Q9UQD0, Q15858</t>
  </si>
  <si>
    <t>DB00572</t>
  </si>
  <si>
    <t>Atropine</t>
  </si>
  <si>
    <t>P20309, P11229, P08912, P08173, P23415, P08172, P43681, P17787</t>
  </si>
  <si>
    <t>Scopolamine</t>
  </si>
  <si>
    <t>DB00574</t>
  </si>
  <si>
    <t>Fenfluramine</t>
  </si>
  <si>
    <t>Q99720, P08908, P41595, P28223, P28335, P28221, P31645</t>
  </si>
  <si>
    <t>Butriptyline</t>
  </si>
  <si>
    <t>DB00590, DB06207</t>
  </si>
  <si>
    <t>P35348, P35368, P25100, Q12809, Q9H252, Q9NS40</t>
  </si>
  <si>
    <t>DB00604</t>
  </si>
  <si>
    <t>Cisapride</t>
  </si>
  <si>
    <t>Q13639, Q12809, P46098, P28223</t>
  </si>
  <si>
    <t>Tegaserod</t>
  </si>
  <si>
    <t>DB00622</t>
  </si>
  <si>
    <t>Nicardipine</t>
  </si>
  <si>
    <t>Q9P0X4, P20309, P11229, P08912, P08173, P0DP23, Q13936, O43497, P35348, P08172, P35368, P54289, P25100, O95180, Q08289, Q01668, Q01064, P54750, Q06432, Q9Y698, O60359, Q9UBN1, Q9UF02, Q9BXT2, P62955, Q8WXS5, P54289, Q9NY47, Q8IZS8, Q7Z3S7, Q13936, Q01668, O60840, Q13698, Q02641, Q08289, P54284, O00305, Q00975, O00555, Q15878, O43497, O95180, Q9P0X4</t>
  </si>
  <si>
    <t>Flunarizine</t>
  </si>
  <si>
    <t>DB00637</t>
  </si>
  <si>
    <t>Astemizole</t>
  </si>
  <si>
    <t>Q12809, P35367, P10636, O95259</t>
  </si>
  <si>
    <t>DB00656</t>
  </si>
  <si>
    <t>Trazodone</t>
  </si>
  <si>
    <t>P08913, P08908, P35367, P28223, P35348, P28335, P31645</t>
  </si>
  <si>
    <t>Lorpiprazole</t>
  </si>
  <si>
    <t>DB00661</t>
  </si>
  <si>
    <t>Verapamil</t>
  </si>
  <si>
    <t>Q12809, O00555, Q13936, O43497, P35348, P35368, Q14654, P25100, P31645, O95180, P08183, Q00975, Q06432, Q9Y698, O60359, Q9UBN1, Q9UF02, Q9BXT2, P62955, Q8WXS5, P54289, Q9NY47, Q8IZS8, Q7Z3S7, Q13936, Q01668, O60840, Q13698, Q02641, Q08289, P54284, O00305, Q00975, O00555, Q15878, O43497, O95180, Q9P0X4</t>
  </si>
  <si>
    <t>DB00668</t>
  </si>
  <si>
    <t>Epinephrine</t>
  </si>
  <si>
    <t>P08588, P08913, P35348, P18089, P35368, P07550, P01375, P25100</t>
  </si>
  <si>
    <t>Clenbuterol</t>
  </si>
  <si>
    <t>DB00683</t>
  </si>
  <si>
    <t>P29274, P14867, P47869, P34903, P48169, P31644, Q16445, P18505, P47870, P28472, O14764, P78334, Q8N1C3, P18507, Q99928, O00591, Q9UN88, P14867, P47869, P34903, P31644, Q8N1C3, P18507, Q99928</t>
  </si>
  <si>
    <t>DB00692</t>
  </si>
  <si>
    <t>Phentolamine</t>
  </si>
  <si>
    <t>Q14654, P35348, P35368, P25100, P08913, P18089, P18825</t>
  </si>
  <si>
    <t>DB00726</t>
  </si>
  <si>
    <t>P08913, P08908, P46098, P35367, P28223, P23975, P35348, P28335, P18089, P35368, Q01959, P28221, P31645, P14416, P08588, P07550, P13945, P21728, P21918, P11229, P08172, P20309, P08173, P08912</t>
  </si>
  <si>
    <t>Paroxetine</t>
  </si>
  <si>
    <t>DB00747</t>
  </si>
  <si>
    <t>P20309, P11229, P08912, P08173, P08172, P43681, P17787, P14410</t>
  </si>
  <si>
    <t>DB00751</t>
  </si>
  <si>
    <t>P25021, P08913, P35367, P28223, P35348, P34969</t>
  </si>
  <si>
    <t>DB00753</t>
  </si>
  <si>
    <t>Isoflurane</t>
  </si>
  <si>
    <t>P98194, P0DP23, P23415, P30049, P42261, Q09470, P14867, P43681, P17787, P14867, P47869, P34903, P48169, P31644, Q16445, P18505, P47870, P28472, O14764, P78334, Q8N1C3, P18507, Q99928, O00591, Q9UN88</t>
  </si>
  <si>
    <t>DB00797</t>
  </si>
  <si>
    <t>Tolazoline</t>
  </si>
  <si>
    <t>P25021, P08913, P18825, P35367, P35348, P18089</t>
  </si>
  <si>
    <t>DB00800</t>
  </si>
  <si>
    <t>Fenoldopam</t>
  </si>
  <si>
    <t>P21728, P21918, P08913, P18825, P35348, P18089, P35368, P25100</t>
  </si>
  <si>
    <t>DB00805</t>
  </si>
  <si>
    <t>Minaprine</t>
  </si>
  <si>
    <t>P21728, P11229, P41595, P22303, P28223, P28335, P31645, P14416, P21397</t>
  </si>
  <si>
    <t>DB00806</t>
  </si>
  <si>
    <t>Pentoxifylline</t>
  </si>
  <si>
    <t>P30542, P29274, P21589</t>
  </si>
  <si>
    <t>Theobromine</t>
  </si>
  <si>
    <t>DB00831</t>
  </si>
  <si>
    <t>Trifluoperazine</t>
  </si>
  <si>
    <t>P0DP23, P35348, Q9NYX4, P14416, P63316, P26447</t>
  </si>
  <si>
    <t>Perphenazine</t>
  </si>
  <si>
    <t>DB00836</t>
  </si>
  <si>
    <t>Loperamide</t>
  </si>
  <si>
    <t>Q12809, O00555, P0DP23, P41143, P41145, P35372, P01189</t>
  </si>
  <si>
    <t>Pimozide</t>
  </si>
  <si>
    <t>DB00850</t>
  </si>
  <si>
    <t>P21728, P0DP23, P14416</t>
  </si>
  <si>
    <t>DB00865</t>
  </si>
  <si>
    <t>Benzphetamine</t>
  </si>
  <si>
    <t>Q05940, P08913, P35348, Q01959</t>
  </si>
  <si>
    <t>4-Methoxyamphetamine</t>
  </si>
  <si>
    <t>DB00867</t>
  </si>
  <si>
    <t>Ritodrine</t>
  </si>
  <si>
    <t>P07550, P08588, P07550, P13945, P48048, P78508, Q14654, Q14500, Q9UNX9, Q99712, Q15842, Q12791, Q16558, Q9Y691, Q9NPA1, Q86W47, O15554, Q92952, Q9H2S1, Q9UGI6, Q15746, O75897, P98194, O75185, P20020, Q01814, Q16720, P23634, O14983, P16615</t>
  </si>
  <si>
    <t>DB00904</t>
  </si>
  <si>
    <t>Ondansetron</t>
  </si>
  <si>
    <t>Q13639, P08908, P46098, P35372, P28222</t>
  </si>
  <si>
    <t>Metoclopramide</t>
  </si>
  <si>
    <t>DB00907</t>
  </si>
  <si>
    <t>Cocaine</t>
  </si>
  <si>
    <t>P11229, Q99720, P23975, P08172, Q01959, P31645, P23141, P35498, Q9Y5Y9, Q9UI33, Q99250, Q9NY46, P35499, Q14524, Q01118, Q9UQD0, Q15858, Q07699, O60939, Q9NY72, Q8IWT1</t>
  </si>
  <si>
    <t>DB00908</t>
  </si>
  <si>
    <t>Q12809, O00180, Q14524, P35348, P35368, Q9Y257, P25100</t>
  </si>
  <si>
    <t>DB00925</t>
  </si>
  <si>
    <t>Phenoxybenzamine</t>
  </si>
  <si>
    <t>P08913, P18825, P0DP23, P35348, P18089, P35368, P07550, P25100</t>
  </si>
  <si>
    <t>DB00935</t>
  </si>
  <si>
    <t>Oxymetazoline</t>
  </si>
  <si>
    <t>P08913, P08908, P18825, P35348, P18089, P35368, P28221, P25100, P28222</t>
  </si>
  <si>
    <t>Pizotifen</t>
  </si>
  <si>
    <t>DB00968</t>
  </si>
  <si>
    <t>Methyldopa</t>
  </si>
  <si>
    <t>P08913, P20711</t>
  </si>
  <si>
    <t>Pirlindole</t>
  </si>
  <si>
    <t>DB00988</t>
  </si>
  <si>
    <t>Dopamine</t>
  </si>
  <si>
    <t>P21728, Q05940, P09172, P21918, P08908, P46098, P21917, P23975, P35462, Q01959, P34969, P31645, P14416, P00441, P21728, P21918, O95264</t>
  </si>
  <si>
    <t>DB00996</t>
  </si>
  <si>
    <t>Gabapentin</t>
  </si>
  <si>
    <t>Trimebutine</t>
  </si>
  <si>
    <t>DB01043</t>
  </si>
  <si>
    <t>Memantine</t>
  </si>
  <si>
    <t>Amantadine</t>
  </si>
  <si>
    <t>DB01069</t>
  </si>
  <si>
    <t>Promethazine</t>
  </si>
  <si>
    <t>P20309, P11229, P25021, P08912, P08173, P0DP23, P35367, P08172, P14416, P35348, P35368, P25100, P08913, P18089, P18825, P35498, Q9Y5Y9, Q9UI33, Q99250, Q9NY46, P35499, Q14524, Q01118, Q9UQD0, Q15858, Q99677, P43657, P51575, Q9UBL9, P56373, Q99571, Q93086, O15547, Q99572, P47900, Q96G91, Q9H244, Q9BPV8, Q15391, P41231, P51582, Q86VZ1, O00398, Q09470, Q16322, P16389, P22001, P22459, P22460, P17658, Q14721, Q92953, P48547, Q96PR1, Q14003, Q03721, Q9NSA2, Q9NZV8, Q9UK17, P15382, Q9Y6J6, Q9Y6H6, Q8WWG9, Q9UJ90, Q9H3M0, Q9UIX4, Q9UJ96, Q8TAE7, Q8TDN1, O95259, Q12809, Q9ULD8, Q9UQ05, Q8NCM2, Q9H252, Q9NS40, Q96L42, P51787, O43526, O43525, P56696, Q9NR82, Q96KK3, Q9BQ31, Q6PIU1, Q8TDN2, Q14722, Q13303</t>
  </si>
  <si>
    <t>DB01079</t>
  </si>
  <si>
    <t>Q13639, P41595, P28223, P28335</t>
  </si>
  <si>
    <t>Cinitapride</t>
  </si>
  <si>
    <t>DB01100</t>
  </si>
  <si>
    <t>Q12809, P0DP23, P35462, P14416</t>
  </si>
  <si>
    <t>DB01142</t>
  </si>
  <si>
    <t>P20309, Q12809, P11229, P25021, Q9H3N8, P08912, P08908, P41595, P08173, P35367, P28223, P23975, P35348, P28335, P08172, P35368, P25100, P31645, P50406</t>
  </si>
  <si>
    <t>DB01146</t>
  </si>
  <si>
    <t>Diphenylpyraline</t>
  </si>
  <si>
    <t>P35367, Q01959</t>
  </si>
  <si>
    <t>DB01149</t>
  </si>
  <si>
    <t>Q12809, P08913, P08908, P28223, P23975, P35348, P28335, P35368, Q01959, P31645</t>
  </si>
  <si>
    <t>DB01151</t>
  </si>
  <si>
    <t>P20309, P11229, P08588, P08912, P08908, P08173, P35367, P28223, P23975, P28335, P08172, P07550, P31645, P14416, P17405, P35348, P35368, P25100, P08913, P18089, P18825</t>
  </si>
  <si>
    <t>DB01159</t>
  </si>
  <si>
    <t>O15554, P23415, P03886, O60391, Q12791, Q8TCU5, Q12879, P14867, Q6W5P4, P48549, P48051, P59768, P08100, O14649, Q9NPC2, P14867, P47869, P34903, P48169, P31644, Q16445, P18505, P47870, P28472, O14764, P78334, Q8N1C3, P18507, Q99928, O00591, Q9UN88, P20020, Q01814, Q16720, P23634</t>
  </si>
  <si>
    <t>DB01162</t>
  </si>
  <si>
    <t>Terazosin</t>
  </si>
  <si>
    <t>Q12809, Q9H252, P35348, P35368, Q9NS40, P25100, P01137</t>
  </si>
  <si>
    <t>DB01173</t>
  </si>
  <si>
    <t>Orphenadrine</t>
  </si>
  <si>
    <t>Q9Y5Y9, Q05586, O15399, P35367, P23975, O60391, Q8TCU5</t>
  </si>
  <si>
    <t>Ketobemidone</t>
  </si>
  <si>
    <t>DB01175</t>
  </si>
  <si>
    <t>Escitalopram</t>
  </si>
  <si>
    <t>P11229, P08908, P35367, P28223, P23975, P28335, Q01959, P31645, P14416, P35348, P35368, P25100, P08913, P18089, P18825</t>
  </si>
  <si>
    <t>DB01221</t>
  </si>
  <si>
    <t>P29475, P46098, P25103, P41143, P23975, P41145, Q8TCU5, P14416, P35372, P06276, P36544, P11229, P08172, P20309, P08173, P08912, P28223, P41595, P28335, P08908, P28222, P28221, P28566, P30939</t>
  </si>
  <si>
    <t>Chlorprothixene</t>
  </si>
  <si>
    <t>DB01233</t>
  </si>
  <si>
    <t>Q13639, P11229, P46098, P14416</t>
  </si>
  <si>
    <t>DB01238</t>
  </si>
  <si>
    <t>P21728, P20309, P11229, P25021, P21918, Q9H3N8, P08588, P08912, P08913, P08908, P46098, P18825, P21917, P41595, P08173, P41143, P35367, P28223, P28566, P35348, P28335, P08172, P18089, P35368, P35462, P41145, Q01959, P34969, P28221, P07550, P31645, P14416, P35372, P28222, P50406, Q9Y5N1, P47898, Q05586, Q12879, Q13224, Q14957, O15399, Q8TCU5, O60391</t>
  </si>
  <si>
    <t>DB01239</t>
  </si>
  <si>
    <t>P21728, P20309, P11229, P08912, P08173, P35367, P28223, P08172, P35462, P14416, P08908, P28222, P28221, P28566, P30939, P28223, P41595, P28335, P46098, O95264, Q8WXA8, Q70Z44, A5X5Y0, Q13639, P50406, P34969</t>
  </si>
  <si>
    <t>Tiapride</t>
  </si>
  <si>
    <t>DB01244</t>
  </si>
  <si>
    <t>Bepridil</t>
  </si>
  <si>
    <t>Q12809, O00555, P0DP23, P51787, P05023, O95180, P63316, Q9NY47, Q01064, P54750</t>
  </si>
  <si>
    <t>DB01363</t>
  </si>
  <si>
    <t>Q05940, P08588, P08913, P18825, P23975, P18089, Q01959, P07550, P31645, P13945, P27338, P21397, P54219</t>
  </si>
  <si>
    <t>DB01364</t>
  </si>
  <si>
    <t>Ephedrine</t>
  </si>
  <si>
    <t>P08588, P23975, P35348, P07550</t>
  </si>
  <si>
    <t>DB01392</t>
  </si>
  <si>
    <t>Yohimbine</t>
  </si>
  <si>
    <t>P08913, P08908, P18825, P41595, P28223, P28335, P18089, P35462, P28221, P14416, P28222, P48048, P78508, Q14654, Q14500, Q9UNX9, Q99712, Q15842</t>
  </si>
  <si>
    <t>Lisuride</t>
  </si>
  <si>
    <t>DB01407</t>
  </si>
  <si>
    <t>P08588, P07550, P01375, P13945, P01138</t>
  </si>
  <si>
    <t>DB01412</t>
  </si>
  <si>
    <t>P30542, Q07343, P29274</t>
  </si>
  <si>
    <t>Istradefylline</t>
  </si>
  <si>
    <t>DB01472</t>
  </si>
  <si>
    <t>Q05940, P08913, P35348, Q01959, P31645, P27338, P21397</t>
  </si>
  <si>
    <t>Metamfetamine</t>
  </si>
  <si>
    <t>DB01577</t>
  </si>
  <si>
    <t>Q05940, P08913, P18825, P23975, P18089, Q01959, P31645, Q96RJ0, P27338, P21397, P54219</t>
  </si>
  <si>
    <t>DB01624</t>
  </si>
  <si>
    <t>Zuclopenthixol</t>
  </si>
  <si>
    <t>P21728, P21918, P08913, P35367, P28223, P35348, P14416</t>
  </si>
  <si>
    <t>Acepromazine</t>
  </si>
  <si>
    <t>DB04599</t>
  </si>
  <si>
    <t>Aniracetam</t>
  </si>
  <si>
    <t>P28223, P14416, P42262, P42263</t>
  </si>
  <si>
    <t>DB04841</t>
  </si>
  <si>
    <t>Q9P0X4, P0DP23, P35367, O43497, O95180</t>
  </si>
  <si>
    <t>DB04888</t>
  </si>
  <si>
    <t>Bifeprunox</t>
  </si>
  <si>
    <t>P08908, P14416</t>
  </si>
  <si>
    <t>DB04889, DB05964</t>
  </si>
  <si>
    <t>P23975, P31645, P14416</t>
  </si>
  <si>
    <t>DB04908</t>
  </si>
  <si>
    <t>Flibanserin</t>
  </si>
  <si>
    <t>P08908, P21917, P28223</t>
  </si>
  <si>
    <t>DB04948</t>
  </si>
  <si>
    <t>Lofexidine</t>
  </si>
  <si>
    <t>P08913, P08908, P35348, P28335, P34969, P28221</t>
  </si>
  <si>
    <t>DB04957</t>
  </si>
  <si>
    <t>Q12809, P15382, P51787</t>
  </si>
  <si>
    <t>DB05079</t>
  </si>
  <si>
    <t>HY10275</t>
  </si>
  <si>
    <t>P35367, P28223</t>
  </si>
  <si>
    <t>DB05080, DB06698</t>
  </si>
  <si>
    <t>P35367, Q9Y5N1</t>
  </si>
  <si>
    <t>DB05271</t>
  </si>
  <si>
    <t>Rotigotine</t>
  </si>
  <si>
    <t>P21728, P21918, P08908, P21917, P18089, P35462, P14416</t>
  </si>
  <si>
    <t>DB05316</t>
  </si>
  <si>
    <t>Pimavanserin</t>
  </si>
  <si>
    <t>Q99720, P28223, P28335</t>
  </si>
  <si>
    <t>DB05461</t>
  </si>
  <si>
    <t>OPC-28326</t>
  </si>
  <si>
    <t>P18825, P41595, P18089</t>
  </si>
  <si>
    <t>Esmirtazapine</t>
  </si>
  <si>
    <t>DB05492</t>
  </si>
  <si>
    <t>Epicept NP-1</t>
  </si>
  <si>
    <t>P08913, P18825, P41595, P35367, P28223, P35348, P28335, P18089, P35368, P25100, P35372, P41146</t>
  </si>
  <si>
    <t>DB06077</t>
  </si>
  <si>
    <t>Lumateperone</t>
  </si>
  <si>
    <t>P21728, Q13224, P28223, P31645, P14416</t>
  </si>
  <si>
    <t>Zotepine</t>
  </si>
  <si>
    <t>DB06148</t>
  </si>
  <si>
    <t>Q9H3N8, P08913, P08908, P18825, P41595, P35367, P28223, P30939, P23975, P28335, P18089, P35462, P41145, Q01959, P34969, P31645, P14416, P50406, P35348, P35368, P25100, P21728, P21918</t>
  </si>
  <si>
    <t>DB06153</t>
  </si>
  <si>
    <t>P20309, P11229, P08913, P08908, P18825, P41595, P35367, P28223, P35348, P28335, P08172, P18089, P35368, P25100, P28222</t>
  </si>
  <si>
    <t>DB06262</t>
  </si>
  <si>
    <t>P08588, P08913, P18825, P35348, P18089, P35368, P07550, P25100, P00439, P13945</t>
  </si>
  <si>
    <t>DB06446</t>
  </si>
  <si>
    <t>Dotarizine</t>
  </si>
  <si>
    <t>P08908, O00555, P28223, P28335</t>
  </si>
  <si>
    <t>DB06678</t>
  </si>
  <si>
    <t>P35367, P08913, P18089, P18825, P28223, P41595, P28335</t>
  </si>
  <si>
    <t>DB08558</t>
  </si>
  <si>
    <t>2-HYDROXYMETHYL-6-OCTYLSULFANYL-TETRAHYDRO-PYRAN-3,4,5-TRIOL</t>
  </si>
  <si>
    <t>P08588, P09848</t>
  </si>
  <si>
    <t>Mirabegron</t>
  </si>
  <si>
    <t>DB08810</t>
  </si>
  <si>
    <t>Q13639, P08908, P28223</t>
  </si>
  <si>
    <t>DB08838</t>
  </si>
  <si>
    <t>Agmatine</t>
  </si>
  <si>
    <t>P18825, Q05586, P48048, Q00975, Q9Y2I1, P02708, Q9UHC3</t>
  </si>
  <si>
    <t>DB08893</t>
  </si>
  <si>
    <t>P08588, P13945</t>
  </si>
  <si>
    <t>DB08922</t>
  </si>
  <si>
    <t>Perospirone</t>
  </si>
  <si>
    <t>P08908, P21917, P35367, P28223, P14416, P35348, P35368, P25100</t>
  </si>
  <si>
    <t>Pipamperone</t>
  </si>
  <si>
    <t>DB09014</t>
  </si>
  <si>
    <t>Captodiame</t>
  </si>
  <si>
    <t>Q99720, P28335, P35462</t>
  </si>
  <si>
    <t>DB09016</t>
  </si>
  <si>
    <t>P35367, P28223, P31645</t>
  </si>
  <si>
    <t>DB09068</t>
  </si>
  <si>
    <t>Vortioxetine</t>
  </si>
  <si>
    <t>P08588, P08908, P46098, P23975, P34969, P31645, P28222</t>
  </si>
  <si>
    <t>Setiptiline</t>
  </si>
  <si>
    <t>DB09089</t>
  </si>
  <si>
    <t>P20309, P11229, P08173, P08172, P35372, Q12791, Q16558, Q9Y691, Q9NPA1, Q86W47, O15554, Q92952, Q9H2S1, Q9UGI6, Q13936, Q01668, O60840, Q13698, Q02641, Q08289, P54284, O00305, O00555, O43497, O95180, Q9P0X4</t>
  </si>
  <si>
    <t>DB09167</t>
  </si>
  <si>
    <t>Dosulepin</t>
  </si>
  <si>
    <t>P20309, P11229, P08912, P08908, P08173, P35367, P28223, P23975, P08172, P31645, P35348, P35368, P25100, P08913, P18089, P18825</t>
  </si>
  <si>
    <t>DB09185</t>
  </si>
  <si>
    <t>Viloxazine</t>
  </si>
  <si>
    <t>P20309, P11229, P25021, P41595, P08173, P35367, P23975, P28335, P08172, P35368, P07550, P27338, P21397</t>
  </si>
  <si>
    <t>DB09195</t>
  </si>
  <si>
    <t>P35367, P28223, P28335, P31645, P35348, P35368, P25100, P08913, P18089, P18825</t>
  </si>
  <si>
    <t>DB09225</t>
  </si>
  <si>
    <t>P28223, P23975, P34969, P31645, P14416, P50406, P21728, P21918</t>
  </si>
  <si>
    <t>Ergotamine</t>
  </si>
  <si>
    <t>DB09229</t>
  </si>
  <si>
    <t>Aranidipine</t>
  </si>
  <si>
    <t>Q13936, O95180, Q13698, O60840, Q01668, P35348, P35368, P25100, P08913, P18089, P18825</t>
  </si>
  <si>
    <t>DB09244</t>
  </si>
  <si>
    <t>P08913, P08908, P21397</t>
  </si>
  <si>
    <t>DB09273</t>
  </si>
  <si>
    <t>Doxofylline</t>
  </si>
  <si>
    <t>P07550, P29274, O00408</t>
  </si>
  <si>
    <t>DB09289</t>
  </si>
  <si>
    <t>Tianeptine</t>
  </si>
  <si>
    <t>P08908, P35462, P42261, P35372</t>
  </si>
  <si>
    <t>DB09304</t>
  </si>
  <si>
    <t>P08908, P28222, P28221, P28566, P30939, P28223, P41595, P28335, P46098, O95264, Q8WXA8, Q70Z44, A5X5Y0, Q13639, P50406, P34969, P08913, P18089, P18825</t>
  </si>
  <si>
    <t>DB11186</t>
  </si>
  <si>
    <t>Q12809, Q99720, P41145, P35372, P35498, Q9Y5Y9, Q9UI33, Q99250, Q9NY46, P35499, Q14524, Q01118, Q9UQD0, Q15858</t>
  </si>
  <si>
    <t>DB11273</t>
  </si>
  <si>
    <t>Dihydroergocornine</t>
  </si>
  <si>
    <t>P08908, P28222, P28221, P28566, P30939, P28223, P41595, P28335, P46098, O95264, Q8WXA8, Q70Z44, A5X5Y0, Q13639, P50406, P34969, P08588, P07550, P13945, P35348, P35368, P25100, P08913, P18089, P18825</t>
  </si>
  <si>
    <t>Carphenazine</t>
  </si>
  <si>
    <t>DB11633</t>
  </si>
  <si>
    <t>Isavuconazole</t>
  </si>
  <si>
    <t>Q12809, Q14524, Q13936, P51787, Q14654, P48051, Q9UK17, P22460, Q92806</t>
  </si>
  <si>
    <t>DB11755</t>
  </si>
  <si>
    <t>Tetrahydrocannabivarin</t>
  </si>
  <si>
    <t>P21554, P34972, P08908, O75762, Q7Z2W7, Q9Y2T6, Q9Y5S1</t>
  </si>
  <si>
    <t>DB12278</t>
  </si>
  <si>
    <t>Propiverine</t>
  </si>
  <si>
    <t>P20309, P11229, P08912, P08173, Q13936, P35348, P08172</t>
  </si>
  <si>
    <t>DB13025</t>
  </si>
  <si>
    <t>P35462, P14416, P08908, P28222, P28221, P28566, P30939, P28223, P41595, P28335, P46098, O95264, Q8WXA8, Q70Z44, A5X5Y0, Q13639, P50406, P34969, P35348, P35368, P25100, P08913, P18089, P18825</t>
  </si>
  <si>
    <t>Ziprasidone</t>
  </si>
  <si>
    <t>DB00245</t>
  </si>
  <si>
    <t>Benzatropine</t>
  </si>
  <si>
    <t>P11229, P35367, P23975, Q01959, P31645</t>
  </si>
  <si>
    <t>DB00246</t>
  </si>
  <si>
    <t>P21728, P20309, P11229, P21918, P08912, P08913, P08908, P18825, P21917, P08173, P35367, P28223, P28566, P35348, P28335, P08172, P18089, P35368, P35462, P34969, P28221, P14416, P28222, P50406, P47898, P46098, O95264, Q8WXA8, Q70Z44, A5X5Y0</t>
  </si>
  <si>
    <t>DB01224</t>
  </si>
  <si>
    <t>Quetiapine</t>
  </si>
  <si>
    <t>P21728, P20309, P11229, P21918, P08912, P08913, P08908, P46098, P18825, P21917, P08173, P35367, P28223, P28566, P28335, P08172, P18089, P35462, P34969, P28221, P14416, P28222, P50406, P35348, P35368, P25100</t>
  </si>
  <si>
    <t>DB14185</t>
  </si>
  <si>
    <t>P21728, P20309, P11229, P21918, P08912, P08913, P08908, P46098, P18825, P21917, P08173, P35367, P28223, P28566, P35348, P28335, P08172, P18089, P35368, P35462, P34969, P28221, P14416, P28222, P50406</t>
  </si>
  <si>
    <t>DB00248</t>
  </si>
  <si>
    <t>Cabergoline</t>
  </si>
  <si>
    <t>P21728, P21918, P08588, P08913, P08908, P18825, P21917, P41595, P28223, P35348, P28335, P18089, P35368, P35462, P34969, P28221, P07550, P25100, P14416, P28222, P21728, P21918</t>
  </si>
  <si>
    <t>Asenapine</t>
  </si>
  <si>
    <t>DB06216</t>
  </si>
  <si>
    <t>P21728, P25021, P08588, P08913, P08908, P18825, P21917, P41595, P35367, P28223, P35348, P28335, P18089, P35462, P34969, P07550, P14416, P28222, P50406, P47898</t>
  </si>
  <si>
    <t>DB00320</t>
  </si>
  <si>
    <t>Dihydroergotamine</t>
  </si>
  <si>
    <t>Q13639, P08913, P08908, P21917, P41595, P28223, P30939, P28566, P28335, P35462, P28221, P14416, P28222, P13945, P35348, P35368, P25100, P08913, P18089, P18825</t>
  </si>
  <si>
    <t>Bromocriptine</t>
  </si>
  <si>
    <t>DB00589</t>
  </si>
  <si>
    <t>P21728, P21918, P08913, P08908, P18825, P21917, P41595, P28223, P28335, P18089, P35462, P34969, P28221, P14416, P28222</t>
  </si>
  <si>
    <t>Apomorphine</t>
  </si>
  <si>
    <t>DB00696</t>
  </si>
  <si>
    <t>P08913, P08908, P18825, P41595, P28223, P30939, P35348, P28335, P35368, P28221, P25100, P14416, P28222, P21728, P21918</t>
  </si>
  <si>
    <t>DB00714</t>
  </si>
  <si>
    <t>P21728, P21918, P08913, P08908, P18825, P21917, P41595, P28223, P28335, P18089, P35462, P28221, P14416, P28222</t>
  </si>
  <si>
    <t>DB00875</t>
  </si>
  <si>
    <t>Flupentixol</t>
  </si>
  <si>
    <t>P21728, P11229, P21917, P28223, P35348, P28335, P35462, P14416</t>
  </si>
  <si>
    <t>DB01186</t>
  </si>
  <si>
    <t>Pergolide</t>
  </si>
  <si>
    <t>P21728, P21918, P08908, P21917, P41595, P28223, P35348, P28335, P35368, P35462, P28221, P25100, P14416, P28222, P08913, P18089, P18825</t>
  </si>
  <si>
    <t>DB01200</t>
  </si>
  <si>
    <t>P21728, P21918, P08913, P08908, P18825, P21917, P41595, P28223, P35348, P28335, P18089, P35368, P35462, P34969, P28221, P25100, P14416, P28222</t>
  </si>
  <si>
    <t>DB01267</t>
  </si>
  <si>
    <t>Paliperidone</t>
  </si>
  <si>
    <t>P21728, P08913, P08908, P18825, P21917, P35367, P28223, P35348, P28335, P18089, P35368, P35462, P34969, P28221, P14416</t>
  </si>
  <si>
    <t>Iloperidone</t>
  </si>
  <si>
    <t>DB01403</t>
  </si>
  <si>
    <t>Methotrimeprazine</t>
  </si>
  <si>
    <t>P21728, P20309, P11229, P21918, P08912, P08913, P18825, P21917, P08173, P35367, P28223, P35348, P28335, P08172, P18089, P35368, P35462, P25100, P14416</t>
  </si>
  <si>
    <t>DB04946</t>
  </si>
  <si>
    <t>P21728, P08908, P18825, P21917, P35367, P28223, P35348, P35462, P34969, P14416, P50406</t>
  </si>
  <si>
    <t>DB09286</t>
  </si>
  <si>
    <t>P21728, P08913, P21917, P41595, P28223, P35462, P14416, P35348, P35368, P25100</t>
  </si>
  <si>
    <t>DB00333</t>
  </si>
  <si>
    <t>Methadone</t>
  </si>
  <si>
    <t>P46098, P41143, P35372, P43681, P17787, P36544, P32297, Q05586, Q12879, Q13224, Q14957, O15399, Q8TCU5, O60391</t>
  </si>
  <si>
    <t>DB06738</t>
  </si>
  <si>
    <t>P41143, P41145, P35372, Q05586, Q12879, Q13224, Q14957, O15399, Q8TCU5, O60391</t>
  </si>
  <si>
    <t>DB00340, DB11855</t>
  </si>
  <si>
    <t>P11229, P08172, P20309, P08173, P08912</t>
  </si>
  <si>
    <t>DB00376, DB00496, DB00725, DB00986, DB01019, DB01036, DB01085, DB01409, DB01591, DB05752, DB06702, DB06709, DB08897, DB09076, DB11181, DB13581</t>
  </si>
  <si>
    <t>P20309, P11229, P08912, P08173, P08172</t>
  </si>
  <si>
    <t>DB00767, DB00835, DB11235</t>
  </si>
  <si>
    <t>P20309, P11229, P08912, P08173, P35367, P08172</t>
  </si>
  <si>
    <t>DB00940</t>
  </si>
  <si>
    <t>Methantheline</t>
  </si>
  <si>
    <t>P20309, P11229, P25021, P08912, P08173, P08172</t>
  </si>
  <si>
    <t>DB00420</t>
  </si>
  <si>
    <t>Promazine</t>
  </si>
  <si>
    <t>P11229, P35367, P28223, P35348, P28335, P14416</t>
  </si>
  <si>
    <t>Propiomazine</t>
  </si>
  <si>
    <t>DB00777</t>
  </si>
  <si>
    <t>P35367, P28223, P35348, P28335, P14416, P11229, P08172, P20309, P08173, P08912</t>
  </si>
  <si>
    <t>DB00450</t>
  </si>
  <si>
    <t>Droperidol</t>
  </si>
  <si>
    <t>P35348, P14416</t>
  </si>
  <si>
    <t>Thioproperazine</t>
  </si>
  <si>
    <t>DB01622</t>
  </si>
  <si>
    <t>P21728, P35348, P35368, P14416</t>
  </si>
  <si>
    <t>DB00575, DB06694</t>
  </si>
  <si>
    <t>P08913, P18825, P35348, P18089, P35368, P25100</t>
  </si>
  <si>
    <t>DB00697</t>
  </si>
  <si>
    <t>Tizanidine</t>
  </si>
  <si>
    <t>Q9Y2I1, P35348, P35368, P25100, P08913, P18089, P18825</t>
  </si>
  <si>
    <t>DB06764, DB09202, DB09205, DB11577</t>
  </si>
  <si>
    <t>P35348, P35368, P25100, P08913, P18089, P18825</t>
  </si>
  <si>
    <t>DB00598, DB09204</t>
  </si>
  <si>
    <t>P08588, P07550, P35348, P35368, P25100</t>
  </si>
  <si>
    <t>DB00640</t>
  </si>
  <si>
    <t>Adenosine</t>
  </si>
  <si>
    <t>P30542, P29275, P0DMS8, P29274</t>
  </si>
  <si>
    <t>Defibrotide</t>
  </si>
  <si>
    <t>DB04932</t>
  </si>
  <si>
    <t>P30542, P29275, P29274</t>
  </si>
  <si>
    <t>DB11757</t>
  </si>
  <si>
    <t>P30542, P29274</t>
  </si>
  <si>
    <t>DB00651</t>
  </si>
  <si>
    <t>Dyphylline</t>
  </si>
  <si>
    <t>P30542, Q07343, P29274, P27815, Q08499, Q08493</t>
  </si>
  <si>
    <t>Enprofylline</t>
  </si>
  <si>
    <t>DB00824</t>
  </si>
  <si>
    <t>P30542, P29275, P0DMS8, Q07343, P29274, P27815</t>
  </si>
  <si>
    <t>DB00679</t>
  </si>
  <si>
    <t>Thioridazine</t>
  </si>
  <si>
    <t>P21728, Q12809, P28223, P35348, P35368, P14416</t>
  </si>
  <si>
    <t>Sertindole</t>
  </si>
  <si>
    <t>DB06144</t>
  </si>
  <si>
    <t>Q12809, P28223, P35348, P28335, P35368, P25100, P14416, P50406</t>
  </si>
  <si>
    <t>DB00704</t>
  </si>
  <si>
    <t>Naltrexone</t>
  </si>
  <si>
    <t>Q99720, P41143, P41145, P35372</t>
  </si>
  <si>
    <t>Hydrocodone</t>
  </si>
  <si>
    <t>DB00956</t>
  </si>
  <si>
    <t>Q99720, P41143, P35372</t>
  </si>
  <si>
    <t>DB00715</t>
  </si>
  <si>
    <t>P41595, P35367, P28223, P23975, P31645, P14416, P08908, P28222, P28221, P28566, P30939, P28223, P41595, P28335, P46098, O95264, Q8WXA8, Q70Z44, A5X5Y0, Q13639, P50406, P34969, P35348, P35368, P25100, P08913, P18089, P18825, P08588, P07550, P13945, P21728, P21918, P11229, P08172, P20309, P08173, P08912</t>
  </si>
  <si>
    <t>DB01049, DB13345</t>
  </si>
  <si>
    <t>P08908, P28222, P28221, P28566, P30939, P28223, P41595, P28335, P46098, O95264, Q8WXA8, Q70Z44, A5X5Y0, Q13639, P50406, P34969, P08588, P07550, P13945, P35348, P35368, P25100, P08913, P18089, P18825, P21728, P21918, P14416, P35462, P21917</t>
  </si>
  <si>
    <t>DB00734</t>
  </si>
  <si>
    <t>Risperidone</t>
  </si>
  <si>
    <t>P21728, P08908, P18825, P35367, P28223, P35348, P28335, P18089, P35368, P34969, P28221, P14416</t>
  </si>
  <si>
    <t>Lurasidone</t>
  </si>
  <si>
    <t>DB00934</t>
  </si>
  <si>
    <t>Maprotiline</t>
  </si>
  <si>
    <t>P20309, P11229, P08912, P08173, P35367, P28223, P23975, P28335, P08172, P34969, P14416, P35348, P35368, P25100, P08913, P18089, P18825</t>
  </si>
  <si>
    <t>Etoperidone</t>
  </si>
  <si>
    <t>DB06229</t>
  </si>
  <si>
    <t>P08913, P18825, P41595, P35367, P28223, P35348, P28335, P18089, P35368, P25100, P14416</t>
  </si>
  <si>
    <t>DB08815</t>
  </si>
  <si>
    <t>P08913, P08908, P18825, P28223, P34969, P14416</t>
  </si>
  <si>
    <t>DB09194</t>
  </si>
  <si>
    <t>P28223, P28335, P14416, P35348, P35368, P25100, P08913, P18089, P18825, P11229, P08172, P20309, P08173, P08912</t>
  </si>
  <si>
    <t>DB00915</t>
  </si>
  <si>
    <t>Q8TCU5, P14416, P43681, P36544, P32297</t>
  </si>
  <si>
    <t>DB00933, DB05687, DB06109</t>
  </si>
  <si>
    <t>P28223, P14416</t>
  </si>
  <si>
    <t>DB01614</t>
  </si>
  <si>
    <t>P21728, P08908, P28223, P35348, P35368, P14416</t>
  </si>
  <si>
    <t>Pipotiazine</t>
  </si>
  <si>
    <t>DB01618</t>
  </si>
  <si>
    <t>Molindone</t>
  </si>
  <si>
    <t>P11229, P08908, P28223, P14416</t>
  </si>
  <si>
    <t>DB01621</t>
  </si>
  <si>
    <t>P21728, P08908, P28223, P14416</t>
  </si>
  <si>
    <t>DB01623</t>
  </si>
  <si>
    <t>P21728, P28223, P14416</t>
  </si>
  <si>
    <t>DB04842</t>
  </si>
  <si>
    <t>Fluspirilene</t>
  </si>
  <si>
    <t>P28223, Q06432, P14416</t>
  </si>
  <si>
    <t>DB00964</t>
  </si>
  <si>
    <t>Apraclonidine</t>
  </si>
  <si>
    <t>P08913, P35348, P18089</t>
  </si>
  <si>
    <t>Naphazoline</t>
  </si>
  <si>
    <t>DB06711</t>
  </si>
  <si>
    <t>P08913, P35348</t>
  </si>
  <si>
    <t>DB01038</t>
  </si>
  <si>
    <t>P21728, P21918, P14416</t>
  </si>
  <si>
    <t>AS-8112</t>
  </si>
  <si>
    <t>DB09207</t>
  </si>
  <si>
    <t>DB06016</t>
  </si>
  <si>
    <t>Cariprazine</t>
  </si>
  <si>
    <t>P08908, P41595, P35367, P28223, P35348, P28335, P35462, P14416</t>
  </si>
  <si>
    <t>Brexpiprazole</t>
  </si>
  <si>
    <t>DB09128</t>
  </si>
  <si>
    <t>P11229, P08908, P18825, P41595, P35367, P28223, P35348, P35368, P35462, P34969, P25100, P14416</t>
  </si>
  <si>
    <t>DB06288</t>
  </si>
  <si>
    <t>Amisulpride</t>
  </si>
  <si>
    <t>P41143, P28223, P35462, P41145, P34969, P14416, P35372</t>
  </si>
  <si>
    <t>DB09223</t>
  </si>
  <si>
    <t>P28223, P35462, P14416</t>
  </si>
  <si>
    <t>DB12061</t>
  </si>
  <si>
    <t>P08908, P21917, P35462, P14416</t>
  </si>
  <si>
    <t>UMAP_X</t>
  </si>
  <si>
    <t>UMAP_Y</t>
  </si>
  <si>
    <t>Group</t>
  </si>
  <si>
    <t>Potential lifespan-extending compounds</t>
  </si>
  <si>
    <t>Prediction Score Range</t>
  </si>
  <si>
    <t>N Compounds</t>
  </si>
  <si>
    <t>Count</t>
  </si>
  <si>
    <t>Q9P0X4</t>
  </si>
  <si>
    <t>Voltage-dependent T-type calcium channel subunit alpha-1I (Voltage-gated calcium channel subunit alpha Cav3.3) (Ca(v)3.3)</t>
  </si>
  <si>
    <t>Prediction score average</t>
  </si>
  <si>
    <t>Betaxolol</t>
  </si>
  <si>
    <t>Isoetharine</t>
  </si>
  <si>
    <t>Atenolol</t>
  </si>
  <si>
    <t>Timolol</t>
  </si>
  <si>
    <t>Carteolol</t>
  </si>
  <si>
    <t>Bisoprolol</t>
  </si>
  <si>
    <t>Acebutolol</t>
  </si>
  <si>
    <t>Nadolol</t>
  </si>
  <si>
    <t>Levobunolol</t>
  </si>
  <si>
    <t>Metipranolol</t>
  </si>
  <si>
    <t>Pirbuterol</t>
  </si>
  <si>
    <t>Befunolol</t>
  </si>
  <si>
    <t>Propranolol</t>
  </si>
  <si>
    <t>Pindolol</t>
  </si>
  <si>
    <t>Bopindolol</t>
  </si>
  <si>
    <t>Thiethylperazine</t>
  </si>
  <si>
    <t>Alizapride</t>
  </si>
  <si>
    <t>Brasofensine</t>
  </si>
  <si>
    <t>Bromopride</t>
  </si>
  <si>
    <t>Melperone</t>
  </si>
  <si>
    <t>Raclopride</t>
  </si>
  <si>
    <t>JNJ-37822681</t>
  </si>
  <si>
    <t>Domperidone</t>
  </si>
  <si>
    <t>Piribedil</t>
  </si>
  <si>
    <t>P0DP23</t>
  </si>
  <si>
    <t>P48736</t>
  </si>
  <si>
    <t>P42345</t>
  </si>
  <si>
    <t>O00329</t>
  </si>
  <si>
    <t>P42338</t>
  </si>
  <si>
    <t>P08588</t>
  </si>
  <si>
    <t>P07550</t>
  </si>
  <si>
    <t>P48048</t>
  </si>
  <si>
    <t>P08913</t>
  </si>
  <si>
    <t>P18089</t>
  </si>
  <si>
    <t>P18825</t>
  </si>
  <si>
    <t>P13945</t>
  </si>
  <si>
    <t>P21728</t>
  </si>
  <si>
    <t>Q12809</t>
  </si>
  <si>
    <t>P08908</t>
  </si>
  <si>
    <t>P28222</t>
  </si>
  <si>
    <t>P08172</t>
  </si>
  <si>
    <t>P00441</t>
  </si>
  <si>
    <t>Q14524</t>
  </si>
  <si>
    <t>P35348</t>
  </si>
  <si>
    <t>P35368</t>
  </si>
  <si>
    <t>P25100</t>
  </si>
  <si>
    <t>P00915</t>
  </si>
  <si>
    <t>P00918</t>
  </si>
  <si>
    <t>P22748</t>
  </si>
  <si>
    <t>Q12791</t>
  </si>
  <si>
    <t>P07451</t>
  </si>
  <si>
    <t>P21917</t>
  </si>
  <si>
    <t>P35462</t>
  </si>
  <si>
    <t>Q13936</t>
  </si>
  <si>
    <t>P35367</t>
  </si>
  <si>
    <t>O43497</t>
  </si>
  <si>
    <t>O95180</t>
  </si>
  <si>
    <t>Q13698</t>
  </si>
  <si>
    <t>O60840</t>
  </si>
  <si>
    <t>Q01668</t>
  </si>
  <si>
    <t>P21918</t>
  </si>
  <si>
    <t>P11229</t>
  </si>
  <si>
    <t>P20309</t>
  </si>
  <si>
    <t>P08173</t>
  </si>
  <si>
    <t>P08912</t>
  </si>
  <si>
    <t>Q8TCU5</t>
  </si>
  <si>
    <t>Q9UBS5</t>
  </si>
  <si>
    <t>O75311</t>
  </si>
  <si>
    <t>Q13224</t>
  </si>
  <si>
    <t>P23415</t>
  </si>
  <si>
    <t>P23416</t>
  </si>
  <si>
    <t>P14867</t>
  </si>
  <si>
    <t>P47869</t>
  </si>
  <si>
    <t>P34903</t>
  </si>
  <si>
    <t>P48169</t>
  </si>
  <si>
    <t>P31644</t>
  </si>
  <si>
    <t>Q16445</t>
  </si>
  <si>
    <t>P18505</t>
  </si>
  <si>
    <t>P47870</t>
  </si>
  <si>
    <t>P28472</t>
  </si>
  <si>
    <t>O14764</t>
  </si>
  <si>
    <t>P78334</t>
  </si>
  <si>
    <t>Q8N1C3</t>
  </si>
  <si>
    <t>P18507</t>
  </si>
  <si>
    <t>Q99928</t>
  </si>
  <si>
    <t>O00591</t>
  </si>
  <si>
    <t>Q9UN88</t>
  </si>
  <si>
    <t>Q05940</t>
  </si>
  <si>
    <t>P35372</t>
  </si>
  <si>
    <t>P00439</t>
  </si>
  <si>
    <t>P54219</t>
  </si>
  <si>
    <t>P22303</t>
  </si>
  <si>
    <t>P06276</t>
  </si>
  <si>
    <t>P23975</t>
  </si>
  <si>
    <t>P09848</t>
  </si>
  <si>
    <t>Q01959</t>
  </si>
  <si>
    <t>P31645</t>
  </si>
  <si>
    <t>Q16568</t>
  </si>
  <si>
    <t>Q96RJ0</t>
  </si>
  <si>
    <t>P27338</t>
  </si>
  <si>
    <t>P21397</t>
  </si>
  <si>
    <t>P30542</t>
  </si>
  <si>
    <t>P25103</t>
  </si>
  <si>
    <t>P41143</t>
  </si>
  <si>
    <t>P28335</t>
  </si>
  <si>
    <t>P41145</t>
  </si>
  <si>
    <t>Q8NER1</t>
  </si>
  <si>
    <t>Q99250</t>
  </si>
  <si>
    <t>P36544</t>
  </si>
  <si>
    <t>Q05586</t>
  </si>
  <si>
    <t>Q12879</t>
  </si>
  <si>
    <t>Q14957</t>
  </si>
  <si>
    <t>O15399</t>
  </si>
  <si>
    <t>O60391</t>
  </si>
  <si>
    <t>P28223</t>
  </si>
  <si>
    <t>P28566</t>
  </si>
  <si>
    <t>P34969</t>
  </si>
  <si>
    <t>P28221</t>
  </si>
  <si>
    <t>P50406</t>
  </si>
  <si>
    <t>P47898</t>
  </si>
  <si>
    <t>P46098</t>
  </si>
  <si>
    <t>O95264</t>
  </si>
  <si>
    <t>Q8WXA8</t>
  </si>
  <si>
    <t>Q70Z44</t>
  </si>
  <si>
    <t>A5X5Y0</t>
  </si>
  <si>
    <t>P41595</t>
  </si>
  <si>
    <t>Q13639</t>
  </si>
  <si>
    <t>P30939</t>
  </si>
  <si>
    <t>P43681</t>
  </si>
  <si>
    <t>P17787</t>
  </si>
  <si>
    <t>P32297</t>
  </si>
  <si>
    <t>Q9H3N8</t>
  </si>
  <si>
    <t>Q9NYX4</t>
  </si>
  <si>
    <t>P09211</t>
  </si>
  <si>
    <t>O75899</t>
  </si>
  <si>
    <t>P25021</t>
  </si>
  <si>
    <t>Q99720</t>
  </si>
  <si>
    <t>P23141</t>
  </si>
  <si>
    <t>Q99705</t>
  </si>
  <si>
    <t>O00264</t>
  </si>
  <si>
    <t>P09172</t>
  </si>
  <si>
    <t>P48167</t>
  </si>
  <si>
    <t>P17405</t>
  </si>
  <si>
    <t>Q9Y5Y9</t>
  </si>
  <si>
    <t>P29475</t>
  </si>
  <si>
    <t>Q9Y5N1</t>
  </si>
  <si>
    <t>P78508</t>
  </si>
  <si>
    <t>Q14654</t>
  </si>
  <si>
    <t>Q14500</t>
  </si>
  <si>
    <t>Q9UNX9</t>
  </si>
  <si>
    <t>Q99712</t>
  </si>
  <si>
    <t>Q15842</t>
  </si>
  <si>
    <t>P42262</t>
  </si>
  <si>
    <t>P42263</t>
  </si>
  <si>
    <t>Q06432</t>
  </si>
  <si>
    <t>P42261</t>
  </si>
  <si>
    <t>P21554</t>
  </si>
  <si>
    <t>P34972</t>
  </si>
  <si>
    <t>O75762</t>
  </si>
  <si>
    <t>Q7Z2W7</t>
  </si>
  <si>
    <t>Q9Y2T6</t>
  </si>
  <si>
    <t>Q9Y5S1</t>
  </si>
  <si>
    <t>O95069</t>
  </si>
  <si>
    <t>P98194</t>
  </si>
  <si>
    <t>O14983</t>
  </si>
  <si>
    <t>Q9Y698</t>
  </si>
  <si>
    <t>O60359</t>
  </si>
  <si>
    <t>Q9UBN1</t>
  </si>
  <si>
    <t>Q9UF02</t>
  </si>
  <si>
    <t>Q9BXT2</t>
  </si>
  <si>
    <t>P62955</t>
  </si>
  <si>
    <t>Q8WXS5</t>
  </si>
  <si>
    <t>P54289</t>
  </si>
  <si>
    <t>Q9NY47</t>
  </si>
  <si>
    <t>Q8IZS8</t>
  </si>
  <si>
    <t>Q7Z3S7</t>
  </si>
  <si>
    <t>Q02641</t>
  </si>
  <si>
    <t>Q08289</t>
  </si>
  <si>
    <t>P54284</t>
  </si>
  <si>
    <t>O00305</t>
  </si>
  <si>
    <t>Q00975</t>
  </si>
  <si>
    <t>O00555</t>
  </si>
  <si>
    <t>Q15878</t>
  </si>
  <si>
    <t>Q09470</t>
  </si>
  <si>
    <t>Q16322</t>
  </si>
  <si>
    <t>P16389</t>
  </si>
  <si>
    <t>P22001</t>
  </si>
  <si>
    <t>P22459</t>
  </si>
  <si>
    <t>P22460</t>
  </si>
  <si>
    <t>P17658</t>
  </si>
  <si>
    <t>Q14721</t>
  </si>
  <si>
    <t>Q92953</t>
  </si>
  <si>
    <t>P48547</t>
  </si>
  <si>
    <t>Q96PR1</t>
  </si>
  <si>
    <t>Q14003</t>
  </si>
  <si>
    <t>Q03721</t>
  </si>
  <si>
    <t>Q9NSA2</t>
  </si>
  <si>
    <t>Q9NZV8</t>
  </si>
  <si>
    <t>Q9UK17</t>
  </si>
  <si>
    <t>P15382</t>
  </si>
  <si>
    <t>Q9Y6J6</t>
  </si>
  <si>
    <t>Q9Y6H6</t>
  </si>
  <si>
    <t>Q8WWG9</t>
  </si>
  <si>
    <t>Q9UJ90</t>
  </si>
  <si>
    <t>Q9H3M0</t>
  </si>
  <si>
    <t>Q9UIX4</t>
  </si>
  <si>
    <t>Q9UJ96</t>
  </si>
  <si>
    <t>Q8TAE7</t>
  </si>
  <si>
    <t>Q8TDN1</t>
  </si>
  <si>
    <t>O95259</t>
  </si>
  <si>
    <t>Q9ULD8</t>
  </si>
  <si>
    <t>Q9UQ05</t>
  </si>
  <si>
    <t>Q8NCM2</t>
  </si>
  <si>
    <t>Q9H252</t>
  </si>
  <si>
    <t>Q9NS40</t>
  </si>
  <si>
    <t>Q96L42</t>
  </si>
  <si>
    <t>P51787</t>
  </si>
  <si>
    <t>O43526</t>
  </si>
  <si>
    <t>O43525</t>
  </si>
  <si>
    <t>P56696</t>
  </si>
  <si>
    <t>Q9NR82</t>
  </si>
  <si>
    <t>Q96KK3</t>
  </si>
  <si>
    <t>Q9BQ31</t>
  </si>
  <si>
    <t>Q6PIU1</t>
  </si>
  <si>
    <t>Q8TDN2</t>
  </si>
  <si>
    <t>Q14722</t>
  </si>
  <si>
    <t>Q13303</t>
  </si>
  <si>
    <t>P35498</t>
  </si>
  <si>
    <t>Q9UI33</t>
  </si>
  <si>
    <t>Q9NY46</t>
  </si>
  <si>
    <t>P35499</t>
  </si>
  <si>
    <t>Q01118</t>
  </si>
  <si>
    <t>Q9UQD0</t>
  </si>
  <si>
    <t>Q15858</t>
  </si>
  <si>
    <t>Q07699</t>
  </si>
  <si>
    <t>O60939</t>
  </si>
  <si>
    <t>Q9NY72</t>
  </si>
  <si>
    <t>Q8IWT1</t>
  </si>
  <si>
    <t>P63252</t>
  </si>
  <si>
    <t>P48050</t>
  </si>
  <si>
    <t>P39086</t>
  </si>
  <si>
    <t>Q13002</t>
  </si>
  <si>
    <t>Q13003</t>
  </si>
  <si>
    <t>Q16099</t>
  </si>
  <si>
    <t>Q16478</t>
  </si>
  <si>
    <t>P29274</t>
  </si>
  <si>
    <t>P02708</t>
  </si>
  <si>
    <t>Q01064</t>
  </si>
  <si>
    <t>P54750</t>
  </si>
  <si>
    <t>P08183</t>
  </si>
  <si>
    <t>P30049</t>
  </si>
  <si>
    <t>P63316</t>
  </si>
  <si>
    <t>P26447</t>
  </si>
  <si>
    <t>P01189</t>
  </si>
  <si>
    <t>Q16558</t>
  </si>
  <si>
    <t>Q9Y691</t>
  </si>
  <si>
    <t>Q9NPA1</t>
  </si>
  <si>
    <t>Q86W47</t>
  </si>
  <si>
    <t>O15554</t>
  </si>
  <si>
    <t>Q92952</t>
  </si>
  <si>
    <t>Q9H2S1</t>
  </si>
  <si>
    <t>Q9UGI6</t>
  </si>
  <si>
    <t>Q15746</t>
  </si>
  <si>
    <t>O75897</t>
  </si>
  <si>
    <t>O75185</t>
  </si>
  <si>
    <t>P20020</t>
  </si>
  <si>
    <t>Q01814</t>
  </si>
  <si>
    <t>Q16720</t>
  </si>
  <si>
    <t>P23634</t>
  </si>
  <si>
    <t>P16615</t>
  </si>
  <si>
    <t>Q99677</t>
  </si>
  <si>
    <t>P43657</t>
  </si>
  <si>
    <t>P51575</t>
  </si>
  <si>
    <t>Q9UBL9</t>
  </si>
  <si>
    <t>P56373</t>
  </si>
  <si>
    <t>Q99571</t>
  </si>
  <si>
    <t>Q93086</t>
  </si>
  <si>
    <t>O15547</t>
  </si>
  <si>
    <t>Q99572</t>
  </si>
  <si>
    <t>P47900</t>
  </si>
  <si>
    <t>Q96G91</t>
  </si>
  <si>
    <t>Q9H244</t>
  </si>
  <si>
    <t>Q9BPV8</t>
  </si>
  <si>
    <t>Q15391</t>
  </si>
  <si>
    <t>P41231</t>
  </si>
  <si>
    <t>P51582</t>
  </si>
  <si>
    <t>Q86VZ1</t>
  </si>
  <si>
    <t>O00398</t>
  </si>
  <si>
    <t>P03886</t>
  </si>
  <si>
    <t>Q6W5P4</t>
  </si>
  <si>
    <t>P48549</t>
  </si>
  <si>
    <t>P48051</t>
  </si>
  <si>
    <t>P59768</t>
  </si>
  <si>
    <t>P08100</t>
  </si>
  <si>
    <t>O14649</t>
  </si>
  <si>
    <t>Q9NPC2</t>
  </si>
  <si>
    <t>P05023</t>
  </si>
  <si>
    <t>Q9Y2I1</t>
  </si>
  <si>
    <t>Q9UHC3</t>
  </si>
  <si>
    <t>Q92806</t>
  </si>
  <si>
    <t>P04629</t>
  </si>
  <si>
    <t>Q16620</t>
  </si>
  <si>
    <t>P19652</t>
  </si>
  <si>
    <t>Q15822</t>
  </si>
  <si>
    <t>P30926</t>
  </si>
  <si>
    <t>P61024</t>
  </si>
  <si>
    <t>P14410</t>
  </si>
  <si>
    <t>P20711</t>
  </si>
  <si>
    <t>P41146</t>
  </si>
  <si>
    <t>P10636</t>
  </si>
  <si>
    <t>O00180</t>
  </si>
  <si>
    <t>Q9Y257</t>
  </si>
  <si>
    <t>P01137</t>
  </si>
  <si>
    <t>P29275</t>
  </si>
  <si>
    <t>P0DMS8</t>
  </si>
  <si>
    <t>Q07343</t>
  </si>
  <si>
    <t>P27815</t>
  </si>
  <si>
    <t>Q08499</t>
  </si>
  <si>
    <t>Q08493</t>
  </si>
  <si>
    <t>P21589</t>
  </si>
  <si>
    <t>O00408</t>
  </si>
  <si>
    <t>P01375</t>
  </si>
  <si>
    <t>P01138</t>
  </si>
  <si>
    <t>Rel. Freq.</t>
  </si>
  <si>
    <t>Recurring Targets (Freq&gt;30% &amp; Count&gt;1)</t>
  </si>
  <si>
    <t>Beta-1 adrenergic receptor (Beta-1 adrenoreceptor) (Beta-1 adrenoceptor)</t>
  </si>
  <si>
    <t>Beta-2 adrenergic receptor (Beta-2 adrenoreceptor) (Beta-2 adrenoceptor)</t>
  </si>
  <si>
    <t>Beta-3 adrenergic receptor (Beta-3 adrenoreceptor) (Beta-3 adrenoceptor)</t>
  </si>
  <si>
    <t>Alpha-2A adrenergic receptor (Alpha-2 adrenergic receptor subtype C10) (Alpha-2A adrenoreceptor) (Alpha-2A adrenoceptor) (Alpha-2AAR)</t>
  </si>
  <si>
    <t>Alpha-1A adrenergic receptor (Alpha-1A adrenoreceptor) (Alpha-1A adrenoceptor) (Alpha-1C adrenergic receptor) (Alpha-adrenergic receptor 1c)</t>
  </si>
  <si>
    <t>Alpha-2B adrenergic receptor (Alpha-2 adrenergic receptor subtype C2) (Alpha-2B adrenoreceptor) (Alpha-2B adrenoceptor) (Alpha-2BAR)</t>
  </si>
  <si>
    <t>Alpha-2C adrenergic receptor (Alpha-2 adrenergic receptor subtype C4) (Alpha-2C adrenoreceptor) (Alpha-2C adrenoceptor) (Alpha-2CAR)</t>
  </si>
  <si>
    <t>Alpha-1B adrenergic receptor (Alpha-1B adrenoreceptor) (Alpha-1B adrenoceptor)</t>
  </si>
  <si>
    <t>Alpha-1D adrenergic receptor (Alpha-1A adrenergic receptor) (Alpha-1D adrenoreceptor) (Alpha-1D adrenoceptor) (Alpha-adrenergic receptor 1a)</t>
  </si>
  <si>
    <t>5-hydroxytryptamine receptor 1A (5-HT-1A) (5-HT1A) (G-21) (Serotonin receptor 1A)</t>
  </si>
  <si>
    <t>Phenylalanine-4-hydroxylase (PAH) (EC 1.14.16.1) (Phe-4-monooxygenase)</t>
  </si>
  <si>
    <t>Potassium voltage-gated channel subfamily H member 2 (Eag homolog) (Ether-a-go-go-related gene potassium channel 1) (ERG-1) (Eag-related protein 1) (Ether-a-go-go-related protein 1) (H-ERG) (hERG-1) (hERG1) (Voltage-gated potassium channel subunit Kv11.1)</t>
  </si>
  <si>
    <t>5-hydroxytryptamine receptor 1B (5-HT-1B) (5-HT1B) (S12) (Serotonin 1D beta receptor) (5-HT-1D-beta) (Serotonin receptor 1B)</t>
  </si>
  <si>
    <t>ATP-sensitive inward rectifier potassium channel 1 (ATP-regulated potassium channel ROM-K) (Inward rectifier K(+) channel Kir1.1) (Potassium channel, inwardly rectifying subfamily J member 1)</t>
  </si>
  <si>
    <t>Synaptic vesicular amine transporter (Monoamine transporter) (Solute carrier family 18 member 2) (Vesicular amine transporter 2) (VAT2)</t>
  </si>
  <si>
    <t>Chromaffin granule amine transporter (Solute carrier family 18 member 1) (Vesicular amine transporter 1) (VAT1)</t>
  </si>
  <si>
    <t>D(1A) dopamine receptor (Dopamine D1 receptor)</t>
  </si>
  <si>
    <t>Acetylcholinesterase (AChE) (EC 3.1.1.7)</t>
  </si>
  <si>
    <t>Cholinesterase (EC 3.1.1.8) (Acylcholine acylhydrolase) (Butyrylcholine esterase) (Choline esterase II) (Pseudocholinesterase)</t>
  </si>
  <si>
    <t>Muscarinic acetylcholine receptor M2</t>
  </si>
  <si>
    <t>Calmodulin-1</t>
  </si>
  <si>
    <t>Superoxide dismutase [Cu-Zn] (EC 1.15.1.1) (Superoxide dismutase 1) (hSod1)</t>
  </si>
  <si>
    <t>Sodium channel protein type 5 subunit alpha (Sodium channel protein cardiac muscle subunit alpha) (Sodium channel protein type V subunit alpha) (Voltage-gated sodium channel subunit alpha Nav1.5) (hH1)</t>
  </si>
  <si>
    <t>Sodium-dependent noradrenaline transporter (Norepinephrine transporter) (NET) (Solute carrier family 6 member 2)</t>
  </si>
  <si>
    <t>Lactase/phlorizin hydrolase (Lactase/glycosylceramidase) [Includes: Lactase (EC 3.2.1.108); Glycosylceramidase (EC 3.2.1.62) (Phlorizin hydrolase)]</t>
  </si>
  <si>
    <t>D(2) dopamine receptor (Dopamine D2 receptor)</t>
  </si>
  <si>
    <t>5-hydroxytryptamine receptor 2A (5-HT-2) (5-HT-2A) (Serotonin receptor 2A)</t>
  </si>
  <si>
    <t>D(3) dopamine receptor (Dopamine D3 receptor)</t>
  </si>
  <si>
    <t>5-hydroxytryptamine receptor 2C (5-HT-2C) (5-HT2C) (5-HTR2C) (5-hydroxytryptamine receptor 1C) (5-HT-1C) (5-HT1C) (Serotonin receptor 2C)</t>
  </si>
  <si>
    <t>Histamine H1 receptor (H1R) (HH1R)</t>
  </si>
  <si>
    <t>Muscarinic acetylcholine receptor M1</t>
  </si>
  <si>
    <t>D(4) dopamine receptor (D(2C) dopamine receptor) (Dopamine D4 receptor)</t>
  </si>
  <si>
    <t>D(1B) dopamine receptor (D(5) dopamine receptor) (D1beta dopamine receptor) (Dopamine D5 receptor)</t>
  </si>
  <si>
    <t>5-hydroxytryptamine receptor 7 (5-HT-7) (5-HT7) (5-HT-X) (Serotonin receptor 7)</t>
  </si>
  <si>
    <t>5-hydroxytryptamine receptor 2B (5-HT-2B) (5-HT2B) (Serotonin receptor 2B)</t>
  </si>
  <si>
    <t>5-hydroxytryptamine receptor 1D (5-HT-1D) (5-HT1D) (Serotonin 1D alpha receptor) (5-HT-1D-alpha) (Serotonin receptor 1D)</t>
  </si>
  <si>
    <t>Muscarinic acetylcholine receptor M3</t>
  </si>
  <si>
    <t>5-hydroxytryptamine receptor 3A (5-HT3-A) (5-HT3A) (5-hydroxytryptamine receptor 3) (5-HT-3) (5-HT3R) (Serotonin receptor 3A) (Serotonin-gated ion channel receptor)</t>
  </si>
  <si>
    <t>Muscarinic acetylcholine receptor M4</t>
  </si>
  <si>
    <t>5-hydroxytryptamine receptor 6 (5-HT-6) (5-HT6) (Serotonin receptor 6)</t>
  </si>
  <si>
    <t>Sodium-dependent serotonin transporter (SERT) (5HT transporter) (5HTT) (Solute carrier family 6 member 4)</t>
  </si>
  <si>
    <t>Muscarinic acetylcholine receptor M5</t>
  </si>
  <si>
    <t>5-hydroxytryptamine receptor 1E (5-HT-1E) (5-HT1E) (S31) (Serotonin receptor 1E)</t>
  </si>
  <si>
    <t>Mu-type opioid receptor (M-OR-1) (MOR-1) (Mu opiate receptor) (Mu opioid receptor) (MOP) (hMOP)</t>
  </si>
  <si>
    <t>5-hydroxytryptamine receptor 1F (5-HT-1F) (5-HT1F) (Serotonin receptor 1F)</t>
  </si>
  <si>
    <t>Sodium-dependent dopamine transporter (DA transporter) (DAT) (Solute carrier family 6 member 3)</t>
  </si>
  <si>
    <t>Glutamate receptor ionotropic, NMDA 3A (GluN3A) (N-methyl-D-aspartate receptor subtype 3A) (NMDAR3A) (NR3A) (NMDAR-L)</t>
  </si>
  <si>
    <t>5-hydroxytryptamine receptor 4 (5-HT-4) (5-HT4) (Serotonin receptor 4)</t>
  </si>
  <si>
    <t>Delta-type opioid receptor (D-OR-1) (DOR-1)</t>
  </si>
  <si>
    <t>Kappa-type opioid receptor (K-OR-1) (KOR-1)</t>
  </si>
  <si>
    <t>Glutamate receptor ionotropic, NMDA 1 (GluN1) (Glutamate [NMDA] receptor subunit zeta-1) (N-methyl-D-aspartate receptor subunit NR1) (NMD-R1)</t>
  </si>
  <si>
    <t>Glutamate receptor ionotropic, NMDA 2B (GluN2B) (Glutamate [NMDA] receptor subunit epsilon-2) (N-methyl D-aspartate receptor subtype 2B) (NMDAR2B) (NR2B) (N-methyl-D-aspartate receptor subunit 3) (NR3) (hNR3)</t>
  </si>
  <si>
    <t>5-hydroxytryptamine receptor 3B (5-HT3-B) (5-HT3B) (Serotonin receptor 3B)</t>
  </si>
  <si>
    <t>Glutamate receptor ionotropic, NMDA 2D (GluN2D) (EB11) (Glutamate [NMDA] receptor subunit epsilon-4) (N-methyl D-aspartate receptor subtype 2D) (NMDAR2D) (NR2D)</t>
  </si>
  <si>
    <t>5-hydroxytryptamine receptor 3C (5-HT3-C) (5-HT3C) (Serotonin receptor 3C)</t>
  </si>
  <si>
    <t>5-hydroxytryptamine receptor 3D (5-HT3-D) (5-HT3D) (Serotonin receptor 3D)</t>
  </si>
  <si>
    <t>5-hydroxytryptamine receptor 3E (5-HT3-E) (5-HT3E) (Serotonin receptor 3E)</t>
  </si>
  <si>
    <t>Glutamate receptor ionotropic, NMDA 2A (GluN2A) (Glutamate [NMDA] receptor subunit epsilon-1) (N-methyl D-aspartate receptor subtype 2A) (NMDAR2A) (NR2A) (hNR2A)</t>
  </si>
  <si>
    <t>Glutamate receptor ionotropic, NMDA 2C (GluN2C) (Glutamate [NMDA] receptor subunit epsilon-3) (N-methyl D-aspartate receptor subtype 2C) (NMDAR2C) (NR2C)</t>
  </si>
  <si>
    <t>Glutamate receptor ionotropic, NMDA 3B (GluN3B) (N-methyl-D-aspartate receptor subtype 3B) (NMDAR3B) (NR3B)</t>
  </si>
  <si>
    <t>Neuronal acetylcholine receptor subunit alpha-7</t>
  </si>
  <si>
    <t>Gamma-aminobutyric acid receptor subunit alpha-1 (GABA(A) receptor subunit alpha-1)</t>
  </si>
  <si>
    <t>Histamine H4 receptor (H4R) (HH4R) (AXOR35) (G-protein coupled receptor 105) (GPRv53) (Pfi-013) (SP9144)</t>
  </si>
  <si>
    <t>Sigma non-opioid intracellular receptor 1 (Aging-associated gene 8 protein) (SR31747-binding protein) (SR-BP) (Sigma 1-type opioid receptor) (SIG-1R) (Sigma1-receptor) (Sigma1R) (hSigmaR1)</t>
  </si>
  <si>
    <t>Amine oxidase [flavin-containing] B (EC 1.4.3.21) (EC 1.4.3.4) (Monoamine oxidase type B) (MAO-B)</t>
  </si>
  <si>
    <t>Amine oxidase [flavin-containing] A (EC 1.4.3.21) (EC 1.4.3.4) (Monoamine oxidase type A) (MAO-A)</t>
  </si>
  <si>
    <t>5-hydroxytryptamine receptor 5A (5-HT-5) (5-HT-5A) (5-HT5A) (Serotonin receptor 5A)</t>
  </si>
  <si>
    <t>Gamma-aminobutyric acid receptor subunit gamma-1 (GABA(A) receptor subunit gamma-1)</t>
  </si>
  <si>
    <t>Histamine H2 receptor (H2R) (HH2R) (Gastric receptor I)</t>
  </si>
  <si>
    <t>Gamma-aminobutyric acid receptor subunit alpha-2 (GABA(A) receptor subunit alpha-2)</t>
  </si>
  <si>
    <t>Gamma-aminobutyric acid receptor subunit alpha-3 (GABA(A) receptor subunit alpha-3)</t>
  </si>
  <si>
    <t>Gamma-aminobutyric acid receptor subunit alpha-5 (GABA(A) receptor subunit alpha-5)</t>
  </si>
  <si>
    <t>Gamma-aminobutyric acid receptor subunit gamma-2 (GABA(A) receptor subunit gamma-2)</t>
  </si>
  <si>
    <t>Gamma-aminobutyric acid receptor subunit gamma-3 (GABA(A) receptor subunit gamma-3)</t>
  </si>
  <si>
    <t>Gamma-aminobutyric acid receptor subunit beta-1 (GABA(A) receptor subunit beta-1)</t>
  </si>
  <si>
    <t>Substance-P receptor (SPR) (NK-1 receptor) (NK-1R) (Tachykinin receptor 1)</t>
  </si>
  <si>
    <t>Neuronal acetylcholine receptor subunit alpha-4</t>
  </si>
  <si>
    <t>Neuronal acetylcholine receptor subunit alpha-3</t>
  </si>
  <si>
    <t>Gamma-aminobutyric acid receptor subunit alpha-4 (GABA(A) receptor subunit alpha-4)</t>
  </si>
  <si>
    <t>Gamma-aminobutyric acid receptor subunit alpha-6 (GABA(A) receptor subunit alpha-6)</t>
  </si>
  <si>
    <t>Gamma-aminobutyric acid receptor subunit beta-2 (GABA(A) receptor subunit beta-2)</t>
  </si>
  <si>
    <t>Gamma-aminobutyric acid receptor subunit beta-3 (GABA(A) receptor subunit beta-3)</t>
  </si>
  <si>
    <t>Gamma-aminobutyric acid receptor subunit delta (GABA(A) receptor subunit delta)</t>
  </si>
  <si>
    <t>Gamma-aminobutyric acid receptor subunit epsilon (GABA(A) receptor subunit epsilon)</t>
  </si>
  <si>
    <t>Gamma-aminobutyric acid receptor subunit pi (GABA(A) receptor subunit pi)</t>
  </si>
  <si>
    <t>Gamma-aminobutyric acid receptor subunit theta (GABA(A) receptor subunit theta)</t>
  </si>
  <si>
    <t>Cocaine- and amphetamine-regulated transcript protein [Cleaved into: CART(1-39); CART(42-89)]</t>
  </si>
  <si>
    <t>Trace amine-associated receptor 1 (TaR-1) (Trace amine receptor 1)</t>
  </si>
  <si>
    <t>Adenosine receptor A1</t>
  </si>
  <si>
    <t>Transient receptor potential cation channel subfamily V member 1 (TrpV1) (Capsaicin receptor) (Osm-9-like TRP channel 1) (OTRPC1) (Vanilloid receptor 1)</t>
  </si>
  <si>
    <t>Sodium channel protein type 2 subunit alpha (HBSC II) (Sodium channel protein brain II subunit alpha) (Sodium channel protein type II subunit alpha) (Voltage-gated sodium channel subunit alpha Nav1.2)</t>
  </si>
  <si>
    <t>Neuronal acetylcholine receptor subunit beta-2</t>
  </si>
  <si>
    <t>Gamma-aminobutyric acid type B receptor subunit 1 (GABA-B receptor 1) (GABA-B-R1) (GABA-BR1) (GABABR1) (Gb1)</t>
  </si>
  <si>
    <t>Neuron-specific vesicular protein calcyon</t>
  </si>
  <si>
    <t>Glutathione S-transferase P (EC 2.5.1.18) (GST class-pi) (GSTP1-1)</t>
  </si>
  <si>
    <t>Gamma-aminobutyric acid type B receptor subunit 2 (GABA-B receptor 2) (GABA-B-R2) (GABA-BR2) (GABABR2) (Gb2) (G-protein coupled receptor 51) (HG20)</t>
  </si>
  <si>
    <t>Carbonic anhydrase 2 (EC 4.2.1.1) (Carbonate dehydratase II) (Carbonic anhydrase C) (CAC) (Carbonic anhydrase II) (CA-II) (Cyanamide hydratase CA2) (EC 4.2.1.69)</t>
  </si>
  <si>
    <t>Carbonic anhydrase 3 (EC 4.2.1.1) (Carbonate dehydratase III) (Carbonic anhydrase III) (CA-III)</t>
  </si>
  <si>
    <t>Liver carboxylesterase 1 (Acyl-coenzyme A:cholesterol acyltransferase) (ACAT) (Brain carboxylesterase hBr1) (Carboxylesterase 1) (CE-1) (hCE-1) (EC 3.1.1.1) (Cholesteryl ester hydrolase) (CEH) (EC 3.1.1.13) (Cocaine carboxylesterase) (Egasyn) (HMSE) (Methylumbelliferyl-acetate deacetylase 1) (EC 3.1.1.56) (Monocyte/macrophage serine esterase) (Retinyl ester hydrolase) (REH) (Serine esterase 1) (Triacylglycerol hydrolase) (TGH)</t>
  </si>
  <si>
    <t>Melanin-concentrating hormone receptor 1 (MCH receptor 1) (MCH-R1) (MCHR-1) (G-protein coupled receptor 24) (MCH-1R) (MCH1R) (MCHR) (SLC-1) (Somatostatin receptor-like protein)</t>
  </si>
  <si>
    <t>Membrane-associated progesterone receptor component 1 (mPR) (Dap1) (IZA)</t>
  </si>
  <si>
    <t>Voltage-dependent L-type calcium channel subunit alpha-1C (Calcium channel, L type, alpha-1 polypeptide, isoform 1, cardiac muscle) (Voltage-gated calcium channel subunit alpha Cav1.2)</t>
  </si>
  <si>
    <t>Voltage-dependent T-type calcium channel subunit alpha-1G (Cav3.1c) (NBR13) (Voltage-gated calcium channel subunit alpha Cav3.1)</t>
  </si>
  <si>
    <t>Voltage-dependent T-type calcium channel subunit alpha-1H (Low-voltage-activated calcium channel alpha1 3.2 subunit) (Voltage-gated calcium channel subunit alpha Cav3.2)</t>
  </si>
  <si>
    <t>Voltage-dependent L-type calcium channel subunit alpha-1S (Calcium channel, L type, alpha-1 polypeptide, isoform 3, skeletal muscle) (Voltage-gated calcium channel subunit alpha Cav1.1)</t>
  </si>
  <si>
    <t>Voltage-dependent L-type calcium channel subunit alpha-1F (Voltage-gated calcium channel subunit alpha Cav1.4)</t>
  </si>
  <si>
    <t>Voltage-dependent L-type calcium channel subunit alpha-1D (Calcium channel, L type, alpha-1 polypeptide, isoform 2) (Voltage-gated calcium channel subunit alpha Cav1.3)</t>
  </si>
  <si>
    <t>Dopamine beta-hydroxylase (EC 1.14.17.1) (Dopamine beta-monooxygenase) [Cleaved into: Soluble dopamine beta-hydroxylase]</t>
  </si>
  <si>
    <t>Glycine receptor subunit alpha-1 (Glycine receptor 48 kDa subunit) (Glycine receptor strychnine-binding subunit)</t>
  </si>
  <si>
    <t>Glycine receptor subunit alpha-2</t>
  </si>
  <si>
    <t>Glycine receptor subunit alpha-3</t>
  </si>
  <si>
    <t>Glycine receptor subunit beta (Glycine receptor 58 kDa subunit)</t>
  </si>
  <si>
    <t>Sphingomyelin phosphodiesterase (EC 3.1.4.12) (EC 3.1.4.3) (Acid sphingomyelinase) (aSMase) [Cleaved into: Sphingomyelin phosphodiesterase, processed form]</t>
  </si>
  <si>
    <t>Sodium channel protein type 10 subunit alpha (Peripheral nerve sodium channel 3) (PN3) (hPN3) (Sodium channel protein type X subunit alpha) (Voltage-gated sodium channel subunit alpha Nav1.8)</t>
  </si>
  <si>
    <t>Nitric oxide synthase 1 (EC 1.14.13.39) (Constitutive NOS) (NC-NOS) (NOS type I) (Neuronal NOS) (N-NOS) (nNOS) (Nitric oxide synthase, brain) (bNOS) (Peptidyl-cysteine S-nitrosylase NOS1)</t>
  </si>
  <si>
    <t>Histamine H3 receptor (H3R) (HH3R) (G-protein coupled receptor 97)</t>
  </si>
  <si>
    <t>ATP-sensitive inward rectifier potassium channel 10 (ATP-dependent inwardly rectifying potassium channel Kir4.1) (Inward rectifier K(+) channel Kir1.2) (Potassium channel, inwardly rectifying subfamily J member 10)</t>
  </si>
  <si>
    <t>ATP-sensitive inward rectifier potassium channel 11 (IKATP) (Inward rectifier K(+) channel Kir6.2) (Potassium channel, inwardly rectifying subfamily J member 11)</t>
  </si>
  <si>
    <t>ATP-sensitive inward rectifier potassium channel 12 (Inward rectifier K(+) channel Kir2.2) (IRK-2) (Inward rectifier K(+) channel Kir2.2v) (Potassium channel, inwardly rectifying subfamily J member 12)</t>
  </si>
  <si>
    <t>ATP-sensitive inward rectifier potassium channel 14 (Inward rectifier K(+) channel Kir2.4) (IRK-4) (Potassium channel, inwardly rectifying subfamily J member 14)</t>
  </si>
  <si>
    <t>ATP-sensitive inward rectifier potassium channel 15 (Inward rectifier K(+) channel Kir1.3) (Inward rectifier K(+) channel Kir4.2) (Potassium channel, inwardly rectifying subfamily J member 15)</t>
  </si>
  <si>
    <t>ATP-sensitive inward rectifier potassium channel 8 (Inward rectifier K(+) channel Kir6.1) (Potassium channel, inwardly rectifying subfamily J member 8) (uKATP-1)</t>
  </si>
  <si>
    <t>Glutamate receptor 2 (GluR-2) (AMPA-selective glutamate receptor 2) (GluR-B) (GluR-K2) (Glutamate receptor ionotropic, AMPA 2) (GluA2)</t>
  </si>
  <si>
    <t>Glutamate receptor 3 (GluR-3) (AMPA-selective glutamate receptor 3) (GluR-C) (GluR-K3) (Glutamate receptor ionotropic, AMPA 3) (GluA3)</t>
  </si>
  <si>
    <t>Voltage-dependent calcium channel gamma-1 subunit (Dihydropyridine-sensitive L-type, skeletal muscle calcium channel subunit gamma)</t>
  </si>
  <si>
    <t>Glutamate receptor 1 (GluR-1) (AMPA-selective glutamate receptor 1) (GluR-A) (GluR-K1) (Glutamate receptor ionotropic, AMPA 1) (GluA1)</t>
  </si>
  <si>
    <t>Cannabinoid receptor 1 (CB-R) (CB1) (CANN6)</t>
  </si>
  <si>
    <t>Cannabinoid receptor 2 (CB-2) (CB2) (hCB2) (CX5)</t>
  </si>
  <si>
    <t>Transient receptor potential cation channel subfamily A member 1 (Ankyrin-like with transmembrane domains protein 1) (Transformation-sensitive protein p120) (p120) (Wasabi receptor)</t>
  </si>
  <si>
    <t>Transient receptor potential cation channel subfamily M member 8 (Long transient receptor potential channel 6) (LTrpC-6) (LTrpC6) (Transient receptor potential p8) (Trp-p8)</t>
  </si>
  <si>
    <t>G-protein coupled receptor 55</t>
  </si>
  <si>
    <t>Transient receptor potential cation channel subfamily V member 2 (TrpV2) (Osm-9-like TRP channel 2) (OTRPC2) (Vanilloid receptor-like protein 1) (VRL-1)</t>
  </si>
  <si>
    <t>Voltage-dependent L-type calcium channel subunit beta-2 (CAB2) (Calcium channel voltage-dependent subunit beta 2) (Lambert-Eaton myasthenic syndrome antigen B) (MYSB)</t>
  </si>
  <si>
    <t>Voltage-dependent P/Q-type calcium channel subunit alpha-1A (Brain calcium channel I) (BI) (Calcium channel, L type, alpha-1 polypeptide isoform 4) (Voltage-gated calcium channel subunit alpha Cav2.1)</t>
  </si>
  <si>
    <t>Voltage-dependent L-type calcium channel subunit beta-1 (CAB1) (Calcium channel voltage-dependent subunit beta 1)</t>
  </si>
  <si>
    <t>Voltage-dependent L-type calcium channel subunit beta-3 (CAB3) (Calcium channel voltage-dependent subunit beta 3)</t>
  </si>
  <si>
    <t>Voltage-dependent L-type calcium channel subunit beta-4 (CAB4) (Calcium channel voltage-dependent subunit beta 4)</t>
  </si>
  <si>
    <t>Voltage-dependent N-type calcium channel subunit alpha-1B (Brain calcium channel III) (BIII) (Calcium channel, L type, alpha-1 polypeptide isoform 5) (Voltage-gated calcium channel subunit alpha Cav2.2)</t>
  </si>
  <si>
    <t>Sodium channel protein type 1 subunit alpha (Sodium channel protein brain I subunit alpha) (Sodium channel protein type I subunit alpha) (Voltage-gated sodium channel subunit alpha Nav1.1)</t>
  </si>
  <si>
    <t>Sodium channel protein type 11 subunit alpha (Peripheral nerve sodium channel 5) (PN5) (Sensory neuron sodium channel 2) (Sodium channel protein type XI subunit alpha) (Voltage-gated sodium channel subunit alpha Nav1.9) (hNaN)</t>
  </si>
  <si>
    <t>Sodium channel protein type 3 subunit alpha (Sodium channel protein brain III subunit alpha) (Sodium channel protein type III subunit alpha) (Voltage-gated sodium channel subtype III) (Voltage-gated sodium channel subunit alpha Nav1.3)</t>
  </si>
  <si>
    <t>Sodium channel protein type 4 subunit alpha (SkM1) (Sodium channel protein skeletal muscle subunit alpha) (Sodium channel protein type IV subunit alpha) (Voltage-gated sodium channel subunit alpha Nav1.4)</t>
  </si>
  <si>
    <t>Sodium channel protein type 7 subunit alpha (Atypical sodium channel Nav2.1) (Nax channel) (Sodium channel protein type VII subunit alpha)</t>
  </si>
  <si>
    <t>Sodium channel protein type 8 subunit alpha (Sodium channel protein type VIII subunit alpha) (Voltage-gated sodium channel subunit alpha Nav1.6)</t>
  </si>
  <si>
    <t>Sodium channel protein type 9 subunit alpha (Neuroendocrine sodium channel) (hNE-Na) (Peripheral sodium channel 1) (PN1) (Sodium channel protein type IX subunit alpha) (Voltage-gated sodium channel subunit alpha Nav1.7)</t>
  </si>
  <si>
    <t>Voltage-dependent calcium channel subunit alpha-2/delta-1 (Voltage-gated calcium channel subunit alpha-2/delta-1) [Cleaved into: Voltage-dependent calcium channel subunit alpha-2-1; Voltage-dependent calcium channel subunit delta-1]</t>
  </si>
  <si>
    <t>Voltage-dependent calcium channel subunit alpha-2/delta-2 (Voltage-gated calcium channel subunit alpha-2/delta-2) [Cleaved into: Voltage-dependent calcium channel subunit alpha-2-2; Voltage-dependent calcium channel subunit delta-2]</t>
  </si>
  <si>
    <t>Voltage-dependent R-type calcium channel subunit alpha-1E (Brain calcium channel II) (BII) (Calcium channel, L type, alpha-1 polypeptide, isoform 6) (Voltage-gated calcium channel subunit alpha Cav2.3)</t>
  </si>
  <si>
    <t>Potassium voltage-gated channel subfamily KQT member 1 (IKs producing slow voltage-gated potassium channel subunit alpha KvLQT1) (KQT-like 1) (Voltage-gated potassium channel subunit Kv7.1)</t>
  </si>
  <si>
    <t>Calcium-transporting ATPase type 2C member 1 (ATPase 2C1) (EC 7.2.2.10) (ATP-dependent Ca(2+) pump PMR1) (Ca(2+)/Mn(2+)-ATPase 2C1) (Secretory pathway Ca(2+)-transporting ATPase type 1) (SPCA1)</t>
  </si>
  <si>
    <t>Voltage-dependent calcium channel gamma-2 subunit (Neuronal voltage-gated calcium channel gamma-2 subunit) (Transmembrane AMPAR regulatory protein gamma-2) (TARP gamma-2)</t>
  </si>
  <si>
    <t>Voltage-dependent calcium channel gamma-3 subunit (Neuronal voltage-gated calcium channel gamma-3 subunit) (Transmembrane AMPAR regulatory protein gamma-3) (TARP gamma-3)</t>
  </si>
  <si>
    <t>Voltage-dependent calcium channel gamma-4 subunit (Neuronal voltage-gated calcium channel gamma-4 subunit) (Transmembrane AMPAR regulatory protein gamma-4) (TARP gamma-4)</t>
  </si>
  <si>
    <t>Voltage-dependent calcium channel gamma-5 subunit (Neuronal voltage-gated calcium channel gamma-5 subunit) (Transmembrane AMPAR regulatory protein gamma-5) (TARP gamma-5)</t>
  </si>
  <si>
    <t>Voltage-dependent calcium channel gamma-6 subunit (Neuronal voltage-gated calcium channel gamma-6 subunit)</t>
  </si>
  <si>
    <t>Voltage-dependent calcium channel gamma-7 subunit (Neuronal voltage-gated calcium channel gamma-7 subunit) (Transmembrane AMPAR regulatory protein gamma-7) (TARP gamma-7)</t>
  </si>
  <si>
    <t>Voltage-dependent calcium channel gamma-8 subunit (Neuronal voltage-gated calcium channel gamma-8 subunit) (Transmembrane AMPAR regulatory protein gamma-8) (TARP gamma-8)</t>
  </si>
  <si>
    <t>Voltage-dependent calcium channel subunit alpha-2/delta-3 (Voltage-gated calcium channel subunit alpha-2/delta-3) [Cleaved into: Voltage-dependent calcium channel subunit alpha-2-3; Voltage-dependent calcium channel subunit delta-3]</t>
  </si>
  <si>
    <t>Voltage-dependent calcium channel subunit alpha-2/delta-4 (Voltage-gated calcium channel subunit alpha-2/delta-4) [Cleaved into: Voltage-dependent calcium channel subunit alpha-2-4; Voltage-dependent calcium channel subunit delta-4]</t>
  </si>
  <si>
    <t>Potassium voltage-gated channel subfamily A member 1 (Voltage-gated K(+) channel HuKI) (Voltage-gated potassium channel HBK1) (Voltage-gated potassium channel subunit Kv1.1)</t>
  </si>
  <si>
    <t>Potassium voltage-gated channel subfamily A member 5 (HPCN1) (Voltage-gated potassium channel HK2) (Voltage-gated potassium channel subunit Kv1.5)</t>
  </si>
  <si>
    <t>Potassium voltage-gated channel subfamily D member 3 (Voltage-gated potassium channel subunit Kv4.3)</t>
  </si>
  <si>
    <t>Potassium voltage-gated channel subfamily E member 1 (Delayed rectifier potassium channel subunit IsK) (IKs producing slow voltage-gated potassium channel subunit beta Mink) (Minimal potassium channel)</t>
  </si>
  <si>
    <t>Potassium voltage-gated channel subfamily KQT member 3 (KQT-like 3) (Potassium channel subunit alpha KvLQT3) (Voltage-gated potassium channel subunit Kv7.3)</t>
  </si>
  <si>
    <t>Potassium voltage-gated channel subfamily KQT member 5 (KQT-like 5) (Potassium channel subunit alpha KvLQT5) (Voltage-gated potassium channel subunit Kv7.5)</t>
  </si>
  <si>
    <t>Calcium-activated potassium channel subunit alpha-1 (BK channel) (BKCA alpha) (Calcium-activated potassium channel, subfamily M subunit alpha-1) (K(VCA)alpha) (KCa1.1) (Maxi K channel) (MaxiK) (Slo-alpha) (Slo1) (Slowpoke homolog) (Slo homolog) (hSlo)</t>
  </si>
  <si>
    <t>Intermediate conductance calcium-activated potassium channel protein 4 (SK4) (SKCa 4) (SKCa4) (IKCa1) (IK1) (KCa3.1) (KCa4) (Putative Gardos channel)</t>
  </si>
  <si>
    <t>Sarcoplasmic/endoplasmic reticulum calcium ATPase 1 (SERCA1) (SR Ca(2+)-ATPase 1) (EC 7.2.2.10) (Calcium pump 1) (Calcium-transporting ATPase sarcoplasmic reticulum type, fast twitch skeletal muscle isoform) (Endoplasmic reticulum class 1/2 Ca(2+) ATPase)</t>
  </si>
  <si>
    <t>Potassium voltage-gated channel subfamily A member 10 (Voltage-gated potassium channel subunit Kv1.8)</t>
  </si>
  <si>
    <t>Potassium voltage-gated channel subfamily A member 2 (NGK1) (Voltage-gated K(+) channel HuKIV) (Voltage-gated potassium channel HBK5) (Voltage-gated potassium channel subunit Kv1.2)</t>
  </si>
  <si>
    <t>Potassium voltage-gated channel subfamily A member 3 (HGK5) (HLK3) (HPCN3) (Voltage-gated K(+) channel HuKIII) (Voltage-gated potassium channel subunit Kv1.3)</t>
  </si>
  <si>
    <t>Potassium voltage-gated channel subfamily A member 4 (HPCN2) (Voltage-gated K(+) channel HuKII) (Voltage-gated potassium channel HBK4) (Voltage-gated potassium channel HK1) (Voltage-gated potassium channel subunit Kv1.4)</t>
  </si>
  <si>
    <t>Potassium voltage-gated channel subfamily A member 6 (Voltage-gated potassium channel HBK2) (Voltage-gated potassium channel subunit Kv1.6)</t>
  </si>
  <si>
    <t>Potassium voltage-gated channel subfamily B member 1 (Delayed rectifier potassium channel 1) (DRK1) (h-DRK1) (Voltage-gated potassium channel subunit Kv2.1)</t>
  </si>
  <si>
    <t>Potassium voltage-gated channel subfamily B member 2 (Voltage-gated potassium channel subunit Kv2.2)</t>
  </si>
  <si>
    <t>Potassium voltage-gated channel subfamily C member 1 (NGK2) (Voltage-gated potassium channel subunit Kv3.1) (Voltage-gated potassium channel subunit Kv4)</t>
  </si>
  <si>
    <t>Potassium voltage-gated channel subfamily C member 2 (Shaw-like potassium channel) (Voltage-gated potassium channel Kv3.2)</t>
  </si>
  <si>
    <t>Potassium voltage-gated channel subfamily C member 3 (KSHIIID) (Voltage-gated potassium channel subunit Kv3.3)</t>
  </si>
  <si>
    <t>Potassium voltage-gated channel subfamily C member 4 (KSHIIIC) (Voltage-gated potassium channel subunit Kv3.4)</t>
  </si>
  <si>
    <t>Potassium voltage-gated channel subfamily D member 1 (Voltage-gated potassium channel subunit Kv4.1)</t>
  </si>
  <si>
    <t>Potassium voltage-gated channel subfamily D member 2 (Voltage-gated potassium channel subunit Kv4.2)</t>
  </si>
  <si>
    <t>Potassium voltage-gated channel subfamily E member 2 (MinK-related peptide 1) (Minimum potassium ion channel-related peptide 1) (Potassium channel subunit beta MiRP1)</t>
  </si>
  <si>
    <t>Potassium voltage-gated channel subfamily E member 3 (MinK-related peptide 2) (Minimum potassium ion channel-related peptide 2) (Potassium channel subunit beta MiRP2)</t>
  </si>
  <si>
    <t>Potassium voltage-gated channel subfamily E member 4 (MinK-related peptide 3) (Minimum potassium ion channel-related peptide 3) (Potassium channel subunit beta MiRP3)</t>
  </si>
  <si>
    <t>Potassium voltage-gated channel subfamily E regulatory beta subunit 5 (AMME syndrome candidate gene 2 protein) (Potassium channel subunit beta MiRP4) (Potassium voltage-gated channel subfamily E member 1-like protein)</t>
  </si>
  <si>
    <t>Potassium voltage-gated channel subfamily F member 1 (Voltage-gated potassium channel subunit Kv5.1) (kH1)</t>
  </si>
  <si>
    <t>Potassium voltage-gated channel subfamily G member 1 (Voltage-gated potassium channel subunit Kv6.1) (kH2)</t>
  </si>
  <si>
    <t>Potassium voltage-gated channel subfamily G member 2 (Cardiac potassium channel subunit) (Voltage-gated potassium channel subunit Kv6.2)</t>
  </si>
  <si>
    <t>Potassium voltage-gated channel subfamily G member 3 (Voltage-gated potassium channel subunit Kv10.1) (Voltage-gated potassium channel subunit Kv6.3)</t>
  </si>
  <si>
    <t>Potassium voltage-gated channel subfamily G member 4 (Voltage-gated potassium channel subunit Kv6.4)</t>
  </si>
  <si>
    <t>Potassium voltage-gated channel subfamily H member 1 (Ether-a-go-go potassium channel 1) (EAG channel 1) (h-eag) (hEAG1) (Voltage-gated potassium channel subunit Kv10.1)</t>
  </si>
  <si>
    <t>Potassium voltage-gated channel subfamily H member 3 (Brain-specific eag-like channel 1) (BEC1) (Ether-a-go-go-like potassium channel 2) (ELK channel 2) (ELK2) (Voltage-gated potassium channel subunit Kv12.2)</t>
  </si>
  <si>
    <t>Potassium voltage-gated channel subfamily H member 4 (Brain-specific eag-like channel 2) (BEC2) (Ether-a-go-go-like potassium channel 1) (ELK channel 1) (ELK1) (Voltage-gated potassium channel subunit Kv12.3)</t>
  </si>
  <si>
    <t>Potassium voltage-gated channel subfamily H member 5 (Ether-a-go-go potassium channel 2) (hEAG2) (Voltage-gated potassium channel subunit Kv10.2)</t>
  </si>
  <si>
    <t>Potassium voltage-gated channel subfamily H member 6 (Ether-a-go-go-related gene potassium channel 2) (ERG-2) (Eag-related protein 2) (Ether-a-go-go-related protein 2) (hERG-2) (hERG2) (Voltage-gated potassium channel subunit Kv11.2)</t>
  </si>
  <si>
    <t>Potassium voltage-gated channel subfamily H member 7 (Ether-a-go-go-related gene potassium channel 3) (ERG-3) (Eag-related protein 3) (Ether-a-go-go-related protein 3) (hERG-3) (Voltage-gated potassium channel subunit Kv11.3)</t>
  </si>
  <si>
    <t>Potassium voltage-gated channel subfamily H member 8 (ELK1) (hElk1) (Ether-a-go-go-like potassium channel 3) (ELK channel 3) (ELK3) (Voltage-gated potassium channel subunit Kv12.1)</t>
  </si>
  <si>
    <t>Potassium voltage-gated channel subfamily KQT member 2 (KQT-like 2) (Neuroblastoma-specific potassium channel subunit alpha KvLQT2) (Voltage-gated potassium channel subunit Kv7.2)</t>
  </si>
  <si>
    <t>Potassium voltage-gated channel subfamily KQT member 4 (KQT-like 4) (Potassium channel subunit alpha KvLQT4) (Voltage-gated potassium channel subunit Kv7.4)</t>
  </si>
  <si>
    <t>Potassium voltage-gated channel subfamily S member 1 (Delayed-rectifier K(+) channel alpha subunit 1) (Voltage-gated potassium channel subunit Kv9.1)</t>
  </si>
  <si>
    <t>Potassium voltage-gated channel subfamily S member 3 (Delayed-rectifier K(+) channel alpha subunit 3) (Voltage-gated potassium channel subunit Kv9.3)</t>
  </si>
  <si>
    <t>Potassium voltage-gated channel subfamily V member 1 (Neuronal potassium channel alpha subunit HNKA) (Voltage-gated potassium channel subunit Kv8.1)</t>
  </si>
  <si>
    <t>Potassium voltage-gated channel subfamily V member 2 (Voltage-gated potassium channel subunit Kv8.2)</t>
  </si>
  <si>
    <t>Voltage-gated potassium channel subunit beta-1 (EC 1.1.1.-) (K(+) channel subunit beta-1) (Kv-beta-1)</t>
  </si>
  <si>
    <t>Voltage-gated potassium channel subunit beta-2 (EC 1.1.1.-) (K(+) channel subunit beta-2) (Kv-beta-2) (hKvbeta2)</t>
  </si>
  <si>
    <t>Sodium channel subunit beta-1</t>
  </si>
  <si>
    <t>Sodium channel subunit beta-2</t>
  </si>
  <si>
    <t>Sodium channel regulatory subunit beta-3</t>
  </si>
  <si>
    <t>Sodium channel subunit beta-4</t>
  </si>
  <si>
    <t>Acetylcholine receptor subunit alpha</t>
  </si>
  <si>
    <t>Dual specificity calcium/calmodulin-dependent 3',5'-cyclic nucleotide phosphodiesterase 1B (Cam-PDE 1B) (EC 3.1.4.17) (63 kDa Cam-PDE)</t>
  </si>
  <si>
    <t>Dual specificity calcium/calmodulin-dependent 3',5'-cyclic nucleotide phosphodiesterase 1A (Cam-PDE 1A) (EC 3.1.4.17) (61 kDa Cam-PDE) (hCam-1)</t>
  </si>
  <si>
    <t>Troponin C, slow skeletal and cardiac muscles (TN-C)</t>
  </si>
  <si>
    <t>Calcium-activated potassium channel subunit beta-1 (BK channel subunit beta-1) (BKbeta) (BKbeta1) (Hbeta1) (Calcium-activated potassium channel, subfamily M subunit beta-1) (Calcium-activated potassium channel subunit beta) (Charybdotoxin receptor subunit beta-1) (K(VCA)beta-1) (Maxi K channel subunit beta-1) (Slo-beta-1) (Slo-beta)</t>
  </si>
  <si>
    <t>Calcium-activated potassium channel subunit beta-2 (BK channel subunit beta-2) (BKbeta2) (Hbeta2) (Calcium-activated potassium channel, subfamily M subunit beta-2) (Charybdotoxin receptor subunit beta-2) (Hbeta3) (K(VCA)beta-2) (Maxi K channel subunit beta-2) (Slo-beta-2)</t>
  </si>
  <si>
    <t>Calcium-activated potassium channel subunit beta-3 (BK channel subunit beta-3) (BKbeta3) (Hbeta3) (Calcium-activated potassium channel, subfamily M subunit beta-3) (Charybdotoxin receptor subunit beta-3) (K(VCA)beta-3) (Maxi K channel subunit beta-3) (Slo-beta-3)</t>
  </si>
  <si>
    <t>Calcium-activated potassium channel subunit beta-4 (BK channel subunit beta-4) (BKbeta4) (Hbeta4) (Calcium-activated potassium channel, subfamily M subunit beta-4) (Charybdotoxin receptor subunit beta-4) (K(VCA)beta-4) (Maxi K channel subunit beta-4) (Slo-beta-4)</t>
  </si>
  <si>
    <t>Small conductance calcium-activated potassium channel protein 1 (SK1) (SKCa 1) (SKCa1) (KCa2.1)</t>
  </si>
  <si>
    <t>Small conductance calcium-activated potassium channel protein 2 (SK2) (SKCa 2) (SKCa2) (KCa2.2)</t>
  </si>
  <si>
    <t>Small conductance calcium-activated potassium channel protein 3 (SK3) (SKCa 3) (SKCa3) (KCa2.3)</t>
  </si>
  <si>
    <t>Plasma membrane calcium-transporting ATPase 1 (EC 7.2.2.10) (Plasma membrane calcium ATPase isoform 1) (PMCA1) (Plasma membrane calcium pump isoform 1)</t>
  </si>
  <si>
    <t>Plasma membrane calcium-transporting ATPase 2 (PMCA2) (EC 7.2.2.10) (Plasma membrane calcium ATPase isoform 2) (Plasma membrane calcium pump isoform 2)</t>
  </si>
  <si>
    <t>Plasma membrane calcium-transporting ATPase 3 (PMCA3) (EC 7.2.2.10) (Plasma membrane calcium ATPase isoform 3) (Plasma membrane calcium pump isoform 3)</t>
  </si>
  <si>
    <t>Plasma membrane calcium-transporting ATPase 4 (PMCA4) (EC 7.2.2.10) (Matrix-remodeling-associated protein 1) (Plasma membrane calcium ATPase isoform 4) (Plasma membrane calcium pump isoform 4)</t>
  </si>
  <si>
    <t>G protein-activated inward rectifier potassium channel 2 (GIRK-2) (BIR1) (Inward rectifier K(+) channel Kir3.2) (KATP-2) (Potassium channel, inwardly rectifying subfamily J member 6)</t>
  </si>
  <si>
    <t>Potassium channel subfamily K member 2 (Outward rectifying potassium channel protein TREK-1) (TREK-1 K(+) channel subunit) (Two pore domain potassium channel TREK-1) (Two pore potassium channel TPKC1)</t>
  </si>
  <si>
    <t>Inward rectifier potassium channel 2 (Cardiac inward rectifier potassium channel) (Inward rectifier K(+) channel Kir2.1) (IRK-1) (hIRK1) (Potassium channel, inwardly rectifying subfamily J member 2)</t>
  </si>
  <si>
    <t>Inward rectifier potassium channel 4 (HIRK2) (HRK1) (Hippocampal inward rectifier) (HIR) (Inward rectifier K(+) channel Kir2.3) (IRK-3) (Potassium channel, inwardly rectifying subfamily J member 4)</t>
  </si>
  <si>
    <t>Carbonic anhydrase 1 (EC 4.2.1.1) (Carbonate dehydratase I) (Carbonic anhydrase B) (CAB) (Carbonic anhydrase I) (CA-I) (Cyanamide hydratase CA1) (EC 4.2.1.69)</t>
  </si>
  <si>
    <t>Carbonic anhydrase 4 (EC 4.2.1.1) (Carbonate dehydratase IV) (Carbonic anhydrase IV) (CA-IV)</t>
  </si>
  <si>
    <t>Glutamate receptor ionotropic, kainate 1 (GluK1) (Excitatory amino acid receptor 3) (EAA3) (Glutamate receptor 5) (GluR-5) (GluR5)</t>
  </si>
  <si>
    <t>Glutamate receptor ionotropic, kainate 2 (GluK2) (Excitatory amino acid receptor 4) (EAA4) (Glutamate receptor 6) (GluR-6) (GluR6)</t>
  </si>
  <si>
    <t>Glutamate receptor ionotropic, kainate 3 (GluK3) (Excitatory amino acid receptor 5) (EAA5) (Glutamate receptor 7) (GluR-7) (GluR7)</t>
  </si>
  <si>
    <t>Glutamate receptor ionotropic, kainate 4 (GluK4) (Excitatory amino acid receptor 1) (EAA1) (Glutamate receptor KA-1) (KA1)</t>
  </si>
  <si>
    <t>Glutamate receptor ionotropic, kainate 5 (GluK5) (Excitatory amino acid receptor 2) (EAA2) (Glutamate receptor KA-2) (KA2)</t>
  </si>
  <si>
    <t>Adenosine receptor A2a</t>
  </si>
  <si>
    <t>ATP-dependent translocase ABCB1 (ATP-binding cassette sub-family B member 1) (Multidrug resistance protein 1) (EC 7.6.2.2) (P-glycoprotein 1) (Phospholipid transporter ABCB1) (EC 7.6.2.1) (CD antigen CD243)</t>
  </si>
  <si>
    <t>ATP synthase subunit delta, mitochondrial (ATP synthase F1 subunit delta) (F-ATPase delta subunit)</t>
  </si>
  <si>
    <t>Protein S100-A4 (Calvasculin) (Metastasin) (Placental calcium-binding protein) (Protein Mts1) (S100 calcium-binding protein A4)</t>
  </si>
  <si>
    <t>Pro-opiomelanocortin (POMC) (Corticotropin-lipotropin) [Cleaved into: NPP; Melanotropin gamma (Gamma-MSH); Potential peptide; Corticotropin (Adrenocorticotropic hormone) (ACTH); Melanocyte-stimulating hormone alpha (Alpha-MSH) (Melanotropin alpha); Corticotropin-like intermediary peptide (CLIP); Lipotropin beta (Beta-LPH); Lipotropin gamma (Gamma-LPH); Melanocyte-stimulating hormone beta (Beta-MSH) (Melanotropin beta); Beta-endorphin; Met-enkephalin]</t>
  </si>
  <si>
    <t>Myosin light chain kinase, smooth muscle (MLCK) (smMLCK) (EC 2.7.11.18) (Kinase-related protein) (KRP) (Telokin) [Cleaved into: Myosin light chain kinase, smooth muscle, deglutamylated form]</t>
  </si>
  <si>
    <t>Sulfotransferase 1C4 (ST1C4) (EC 2.8.2.1) (Sulfotransferase 1C2) (SULT1C#2)</t>
  </si>
  <si>
    <t>Calcium-transporting ATPase type 2C member 2 (ATPase 2C2) (EC 7.2.2.10) (Ca(2+)/Mn(2+)-ATPase 2C2) (Secretory pathway Ca(2+)-transporting ATPase type 2) (SPCA2)</t>
  </si>
  <si>
    <t>Sarcoplasmic/endoplasmic reticulum calcium ATPase 2 (SERCA2) (SR Ca(2+)-ATPase 2) (EC 7.2.2.10) (Calcium pump 2) (Calcium-transporting ATPase sarcoplasmic reticulum type, slow twitch skeletal muscle isoform) (Endoplasmic reticulum class 1/2 Ca(2+) ATPase)</t>
  </si>
  <si>
    <t>Lysophosphatidic acid receptor 4 (LPA receptor 4) (LPA-4) (G-protein coupled receptor 23) (P2Y purinoceptor 9) (P2Y9) (P2Y5-like receptor) (Purinergic receptor 9)</t>
  </si>
  <si>
    <t>Lysophosphatidic acid receptor 6 (LPA receptor 6) (LPA-6) (Oleoyl-L-alpha-lysophosphatidic acid receptor) (P2Y purinoceptor 5) (P2Y5) (Purinergic receptor 5) (RB intron encoded G-protein coupled receptor)</t>
  </si>
  <si>
    <t>P2X purinoceptor 1 (P2X1) (ATP receptor) (Purinergic receptor)</t>
  </si>
  <si>
    <t>P2X purinoceptor 2 (P2X2) (ATP receptor) (Purinergic receptor)</t>
  </si>
  <si>
    <t>P2X purinoceptor 3 (P2X3) (ATP receptor) (Purinergic receptor)</t>
  </si>
  <si>
    <t>P2X purinoceptor 4 (P2X4) (ATP receptor) (Purinergic receptor)</t>
  </si>
  <si>
    <t>P2X purinoceptor 5 (P2X5) (ATP receptor) (Purinergic receptor)</t>
  </si>
  <si>
    <t>P2X purinoceptor 6 (P2X6) (ATP receptor) (P2XM) (Purinergic receptor) (Purinergic receptor P2X-like 1)</t>
  </si>
  <si>
    <t>P2X purinoceptor 7 (P2X7) (ATP receptor) (P2Z receptor) (Purinergic receptor)</t>
  </si>
  <si>
    <t>P2Y purinoceptor 1 (P2Y1) (ADP receptor) (Purinergic receptor)</t>
  </si>
  <si>
    <t>P2Y purinoceptor 11 (P2Y11)</t>
  </si>
  <si>
    <t>P2Y purinoceptor 12 (P2Y12) (ADP-glucose receptor) (ADPG-R) (P2T(AC)) (P2Y(AC)) (P2Y(cyc)) (P2Y12 platelet ADP receptor) (P2Y(ADP)) (SP1999)</t>
  </si>
  <si>
    <t>P2Y purinoceptor 13 (P2Y13) (G-protein coupled receptor 86) (G-protein coupled receptor 94)</t>
  </si>
  <si>
    <t>P2Y purinoceptor 14 (P2Y14) (G-protein coupled receptor 105) (UDP-glucose receptor)</t>
  </si>
  <si>
    <t>P2Y purinoceptor 2 (P2Y2) (ATP receptor) (P2U purinoceptor 1) (P2U1) (P2U receptor 1) (Purinergic receptor)</t>
  </si>
  <si>
    <t>P2Y purinoceptor 4 (P2Y4) (P2P) (Uridine nucleotide receptor) (UNR)</t>
  </si>
  <si>
    <t>P2Y purinoceptor 8 (P2Y8)</t>
  </si>
  <si>
    <t>Putative P2Y purinoceptor 10 (P2Y10) (P2Y-like receptor)</t>
  </si>
  <si>
    <t>NADH-ubiquinone oxidoreductase chain 1 (EC 7.1.1.2) (NADH dehydrogenase subunit 1)</t>
  </si>
  <si>
    <t>Neuropeptide S receptor (G-protein coupled receptor 154) (G-protein coupled receptor PGR14) (G-protein coupled receptor for asthma susceptibility)</t>
  </si>
  <si>
    <t>G protein-activated inward rectifier potassium channel 1 (GIRK-1) (Inward rectifier K(+) channel Kir3.1) (Potassium channel, inwardly rectifying subfamily J member 3)</t>
  </si>
  <si>
    <t>Guanine nucleotide-binding protein G(I)/G(S)/G(O) subunit gamma-2 (G gamma-I)</t>
  </si>
  <si>
    <t>Rhodopsin (Opsin-2)</t>
  </si>
  <si>
    <t>Potassium channel subfamily K member 3 (Acid-sensitive potassium channel protein TASK-1) (TWIK-related acid-sensitive K(+) channel 1) (Two pore potassium channel KT3.1) (Two pore K(+) channel KT3.1)</t>
  </si>
  <si>
    <t>Potassium channel subfamily K member 9 (Acid-sensitive potassium channel protein TASK-3) (TWIK-related acid-sensitive K(+) channel 3) (Two pore potassium channel KT3.2) (Two pore K(+) channel KT3.2)</t>
  </si>
  <si>
    <t>Sodium/potassium-transporting ATPase subunit alpha-1 (Na(+)/K(+) ATPase alpha-1 subunit) (EC 7.2.2.13) (Sodium pump subunit alpha-1)</t>
  </si>
  <si>
    <t>Nischarin (Imidazoline receptor 1) (I-1) (IR1) (Imidazoline receptor antisera-selected protein) (hIRAS) (Imidazoline-1 receptor) (I1R) (Imidazoline-1 receptor candidate protein) (I-1 receptor candidate protein) (I1R candidate protein)</t>
  </si>
  <si>
    <t>Acid-sensing ion channel 3 (ASIC3) (hASIC3) (Amiloride-sensitive cation channel 3) (Neuronal amiloride-sensitive cation channel 3) (Testis sodium channel 1) (hTNaC1)</t>
  </si>
  <si>
    <t>G protein-activated inward rectifier potassium channel 3 (GIRK-3) (Inward rectifier K(+) channel Kir3.3) (Potassium channel, inwardly rectifying subfamily J member 9)</t>
  </si>
  <si>
    <t>High affinity nerve growth factor receptor (EC 2.7.10.1) (Neurotrophic tyrosine kinase receptor type 1) (TRK1-transforming tyrosine kinase protein) (Tropomyosin-related kinase A) (Tyrosine kinase receptor) (Tyrosine kinase receptor A) (Trk-A) (gp140trk) (p140-TrkA)</t>
  </si>
  <si>
    <t>BDNF/NT-3 growth factors receptor (EC 2.7.10.1) (GP145-TrkB) (Trk-B) (Neurotrophic tyrosine kinase receptor type 2) (TrkB tyrosine kinase) (Tropomyosin-related kinase B)</t>
  </si>
  <si>
    <t>Alpha-1-acid glycoprotein 2 (AGP 2) (Orosomucoid-2) (OMD 2)</t>
  </si>
  <si>
    <t>Neuronal acetylcholine receptor subunit alpha-2</t>
  </si>
  <si>
    <t>Neuronal acetylcholine receptor subunit beta-4</t>
  </si>
  <si>
    <t>Cyclin-dependent kinases regulatory subunit 1 (CKS-1)</t>
  </si>
  <si>
    <t>Sucrase-isomaltase, intestinal [Cleaved into: Sucrase (EC 3.2.1.48); Isomaltase (EC 3.2.1.10)]</t>
  </si>
  <si>
    <t>Aromatic-L-amino-acid decarboxylase (AADC) (EC 4.1.1.28) (DOPA decarboxylase) (DDC)</t>
  </si>
  <si>
    <t>Nociceptin receptor (Kappa-type 3 opioid receptor) (KOR-3) (Orphanin FQ receptor)</t>
  </si>
  <si>
    <t>Microtubule-associated protein tau (Neurofibrillary tangle protein) (Paired helical filament-tau) (PHF-tau)</t>
  </si>
  <si>
    <t>Potassium channel subfamily K member 1 (Inward rectifying potassium channel protein TWIK-1) (Potassium channel K2P1) (Potassium channel KCNO1)</t>
  </si>
  <si>
    <t>Potassium channel subfamily K member 6 (Inward rectifying potassium channel protein TWIK-2) (TWIK-originated similarity sequence)</t>
  </si>
  <si>
    <t>Transforming growth factor beta-1 proprotein [Cleaved into: Latency-associated peptide (LAP); Transforming growth factor beta-1 (TGF-beta-1)]</t>
  </si>
  <si>
    <t>Adenosine receptor A2b</t>
  </si>
  <si>
    <t>3',5'-cyclic-AMP phosphodiesterase 4B (EC 3.1.4.53) (DPDE4) (PDE32) (cAMP-specific phosphodiesterase 4B)</t>
  </si>
  <si>
    <t>Adenosine receptor A3</t>
  </si>
  <si>
    <t>3',5'-cyclic-AMP phosphodiesterase 4A (EC 3.1.4.53) (DPDE2) (PDE46) (cAMP-specific phosphodiesterase 4A)</t>
  </si>
  <si>
    <t>3',5'-cyclic-AMP phosphodiesterase 4D (EC 3.1.4.53) (DPDE3) (PDE43) (cAMP-specific phosphodiesterase 4D)</t>
  </si>
  <si>
    <t>3',5'-cyclic-AMP phosphodiesterase 4C (EC 3.1.4.53) (DPDE1) (PDE21) (cAMP-specific phosphodiesterase 4C)</t>
  </si>
  <si>
    <t>5'-nucleotidase (5'-NT) (EC 3.1.3.35) (EC 3.1.3.5) (EC 3.1.3.89) (EC 3.1.3.91) (EC 3.1.3.99) (5'-deoxynucleotidase) (Ecto-5'-nucleotidase) (IMP-specific 5'-nucleotidase) (Thymidylate 5'-phosphatase) (CD antigen CD73)</t>
  </si>
  <si>
    <t>cGMP-dependent 3',5'-cyclic phosphodiesterase (EC 3.1.4.17) (Cyclic GMP-stimulated phosphodiesterase) (CGS-PDE) (cGSPDE)</t>
  </si>
  <si>
    <t>Tumor necrosis factor (Cachectin) (TNF-alpha) (Tumor necrosis factor ligand superfamily member 2) (TNF-a) [Cleaved into: Tumor necrosis factor, membrane form (N-terminal fragment) (NTF); Intracellular domain 1 (ICD1); Intracellular domain 2 (ICD2); C-domain 1; C-domain 2; Tumor necrosis factor, soluble form]</t>
  </si>
  <si>
    <t>Beta-nerve growth factor (Beta-NGF)</t>
  </si>
  <si>
    <t>Phosphatidylinositol 4,5-bisphosphate 3-kinase catalytic subunit gamma isoform (PI3-kinase subunit gamma) (PI3K-gamma) (PI3Kgamma) (PtdIns-3-kinase subunit gamma) (EC 2.7.1.137) (EC 2.7.1.153) (EC 2.7.1.154) (Phosphatidylinositol 4,5-bisphosphate 3-kinase 110 kDa catalytic subunit gamma) (PtdIns-3-kinase subunit p110-gamma) (p110gamma) (Phosphoinositide-3-kinase catalytic gamma polypeptide) (Serine/threonine protein kinase PIK3CG) (EC 2.7.11.1) (p120-PI3K)</t>
  </si>
  <si>
    <t>Phosphatidylinositol 4,5-bisphosphate 3-kinase catalytic subunit alpha isoform (PI3-kinase subunit alpha) (PI3K-alpha) (PI3Kalpha) (PtdIns-3-kinase subunit alpha) (EC 2.7.1.137) (EC 2.7.1.153) (Phosphatidylinositol 4,5-bisphosphate 3-kinase 110 kDa catalytic subunit alpha) (PtdIns-3-kinase subunit p110-alpha) (p110alpha) (Phosphoinositide 3-kinase alpha) (Phosphoinositide-3-kinase catalytic alpha polypeptide) (Serine/threonine protein kinase PIK3CA) (EC 2.7.11.1)</t>
  </si>
  <si>
    <t>Serine/threonine-protein kinase mTOR (EC 2.7.11.1) (FK506-binding protein 12-rapamycin complex-associated protein 1) (FKBP12-rapamycin complex-associated protein) (Mammalian target of rapamycin) (mTOR) (Mechanistic target of rapamycin) (Rapamycin and FKBP12 target 1) (Rapamycin target protein 1)</t>
  </si>
  <si>
    <t>Phosphatidylinositol 4,5-bisphosphate 3-kinase catalytic subunit delta isoform (PI3-kinase subunit delta) (PI3K-delta) (PI3Kdelta) (PtdIns-3-kinase subunit delta) (EC 2.7.1.137) (EC 2.7.1.153) (Phosphatidylinositol 4,5-bisphosphate 3-kinase 110 kDa catalytic subunit delta) (PtdIns-3-kinase subunit p110-delta) (p110delta)</t>
  </si>
  <si>
    <t>Phosphatidylinositol 4,5-bisphosphate 3-kinase catalytic subunit beta isoform (PI3-kinase subunit beta) (PI3K-beta) (PI3Kbeta) (PtdIns-3-kinase subunit beta) (EC 2.7.1.153) (Phosphatidylinositol 4,5-bisphosphate 3-kinase 110 kDa catalytic subunit beta) (PtdIns-3-kinase subunit p110-beta) (p110beta) (Serine/threonine protein kinase PIK3CB) (EC 2.7.11.1)</t>
  </si>
  <si>
    <t>P46098, Q05586, P14416, P36544, P14867, P47869, P34903, P48169, P31644, Q16445, P18505, P47870, P28472, O14764, P78334, Q8N1C3, P18507, Q99928, O00591, Q9UN88, Q05586, Q12879, Q13224, Q14957, O15399, Q8TCU5, O60391, P23415, P23416, O75311, P48167</t>
  </si>
  <si>
    <t>P08913, P35367, P28223, P28335, P41145, P35348, P35368, P25100</t>
  </si>
  <si>
    <t>Group Name</t>
  </si>
  <si>
    <t>Group 1</t>
  </si>
  <si>
    <t>Group 2</t>
  </si>
  <si>
    <t>Group 3</t>
  </si>
  <si>
    <t>Group 4</t>
  </si>
  <si>
    <t>Group 5</t>
  </si>
  <si>
    <t>Group 6</t>
  </si>
  <si>
    <t>Labetalol</t>
  </si>
  <si>
    <t>Mesoridazine</t>
  </si>
  <si>
    <t>Ergoloid mesylate</t>
  </si>
  <si>
    <t>Bicifadine</t>
  </si>
  <si>
    <t>Metixene</t>
  </si>
  <si>
    <t>Trihexyphenidyl</t>
  </si>
  <si>
    <t>Loratadine</t>
  </si>
  <si>
    <t>Clonidine</t>
  </si>
  <si>
    <t>Doxazosin</t>
  </si>
  <si>
    <t>Benzquinamide</t>
  </si>
  <si>
    <t>OBE101</t>
  </si>
  <si>
    <t>Tetryzoline</t>
  </si>
  <si>
    <t>Name</t>
  </si>
  <si>
    <t>Description</t>
  </si>
  <si>
    <t>ADRB1</t>
  </si>
  <si>
    <t>ADRB2</t>
  </si>
  <si>
    <t>ADRB3</t>
  </si>
  <si>
    <t>ADA2A</t>
  </si>
  <si>
    <t>ADA1A</t>
  </si>
  <si>
    <t>ADA2B</t>
  </si>
  <si>
    <t>ADA2C</t>
  </si>
  <si>
    <t>ADA1B</t>
  </si>
  <si>
    <t>ADA1D</t>
  </si>
  <si>
    <t>5HT1A</t>
  </si>
  <si>
    <t>5HT1B</t>
  </si>
  <si>
    <t>LPH</t>
  </si>
  <si>
    <t>PH4H</t>
  </si>
  <si>
    <t>KCNH2</t>
  </si>
  <si>
    <t>KCNJ1</t>
  </si>
  <si>
    <t>VMAT2</t>
  </si>
  <si>
    <t>VMAT1</t>
  </si>
  <si>
    <t>DRD1</t>
  </si>
  <si>
    <t>ACES</t>
  </si>
  <si>
    <t>CHLE</t>
  </si>
  <si>
    <t>ACM2</t>
  </si>
  <si>
    <t>CALM1</t>
  </si>
  <si>
    <t>SODC</t>
  </si>
  <si>
    <t>SCN5A</t>
  </si>
  <si>
    <t>SC6A2</t>
  </si>
  <si>
    <t>DRD2</t>
  </si>
  <si>
    <t>5HT2A</t>
  </si>
  <si>
    <t>5HT2C</t>
  </si>
  <si>
    <t>DRD3</t>
  </si>
  <si>
    <t>HRH1</t>
  </si>
  <si>
    <t>ACM1</t>
  </si>
  <si>
    <t>DRD5</t>
  </si>
  <si>
    <t>DRD4</t>
  </si>
  <si>
    <t>5HT7R</t>
  </si>
  <si>
    <t>5HT2B</t>
  </si>
  <si>
    <t>5HT1D</t>
  </si>
  <si>
    <t>ACM3</t>
  </si>
  <si>
    <t>SC6A4</t>
  </si>
  <si>
    <t>ACM4</t>
  </si>
  <si>
    <t>5HT6R</t>
  </si>
  <si>
    <t>5HT3A</t>
  </si>
  <si>
    <t>ACM5</t>
  </si>
  <si>
    <t>5HT1E</t>
  </si>
  <si>
    <t>SC6A3</t>
  </si>
  <si>
    <t>OPRM</t>
  </si>
  <si>
    <t>5HT1F</t>
  </si>
  <si>
    <t>5HT4R</t>
  </si>
  <si>
    <t>OPRD</t>
  </si>
  <si>
    <t>OPRK</t>
  </si>
  <si>
    <t>NMD3A</t>
  </si>
  <si>
    <t>5HT3B</t>
  </si>
  <si>
    <t>NMDZ1</t>
  </si>
  <si>
    <t>NMDE2</t>
  </si>
  <si>
    <t>5HT3C</t>
  </si>
  <si>
    <t>5HT3D</t>
  </si>
  <si>
    <t>5HT3E</t>
  </si>
  <si>
    <t>NMDE4</t>
  </si>
  <si>
    <t>HRH4</t>
  </si>
  <si>
    <t>NMDE1</t>
  </si>
  <si>
    <t>NMDE3</t>
  </si>
  <si>
    <t>NMD3B</t>
  </si>
  <si>
    <t>HRH2</t>
  </si>
  <si>
    <t>SGMR1</t>
  </si>
  <si>
    <t>ACHA7</t>
  </si>
  <si>
    <t>GBRA1</t>
  </si>
  <si>
    <t>AOFB</t>
  </si>
  <si>
    <t>AOFA</t>
  </si>
  <si>
    <t>5HT5A</t>
  </si>
  <si>
    <t>GBRG1</t>
  </si>
  <si>
    <t>ACHA3</t>
  </si>
  <si>
    <t>GBRA2</t>
  </si>
  <si>
    <t>GBRA3</t>
  </si>
  <si>
    <t>GBRA5</t>
  </si>
  <si>
    <t>GBRG2</t>
  </si>
  <si>
    <t>GBRG3</t>
  </si>
  <si>
    <t>GBRB1</t>
  </si>
  <si>
    <t>NK1R</t>
  </si>
  <si>
    <t>ACHA4</t>
  </si>
  <si>
    <t>GBRA4</t>
  </si>
  <si>
    <t>GBRA6</t>
  </si>
  <si>
    <t>GBRB2</t>
  </si>
  <si>
    <t>GBRB3</t>
  </si>
  <si>
    <t>GBRD</t>
  </si>
  <si>
    <t>GBRE</t>
  </si>
  <si>
    <t>GBRP</t>
  </si>
  <si>
    <t>GBRT</t>
  </si>
  <si>
    <t>CART</t>
  </si>
  <si>
    <t>TAAR1</t>
  </si>
  <si>
    <t>AA1R</t>
  </si>
  <si>
    <t>TRPV1</t>
  </si>
  <si>
    <t>SCN2A</t>
  </si>
  <si>
    <t>KCNA1</t>
  </si>
  <si>
    <t>KCNQ2</t>
  </si>
  <si>
    <t>NTRK1</t>
  </si>
  <si>
    <t>KCNQ3</t>
  </si>
  <si>
    <t>NTRK2</t>
  </si>
  <si>
    <t>KCNH6</t>
  </si>
  <si>
    <t>KCNH7</t>
  </si>
  <si>
    <t>ACHB2</t>
  </si>
  <si>
    <t>GABR1</t>
  </si>
  <si>
    <t>CALY</t>
  </si>
  <si>
    <t>GSTP1</t>
  </si>
  <si>
    <t>GABR2</t>
  </si>
  <si>
    <t>CAH2</t>
  </si>
  <si>
    <t>CAH3</t>
  </si>
  <si>
    <t>EST1</t>
  </si>
  <si>
    <t>KCND2</t>
  </si>
  <si>
    <t>KCND3</t>
  </si>
  <si>
    <t>A1AG2</t>
  </si>
  <si>
    <t>KCNH1</t>
  </si>
  <si>
    <t>ACHA2</t>
  </si>
  <si>
    <t>ACHB4</t>
  </si>
  <si>
    <t>CKS1</t>
  </si>
  <si>
    <t>MCHR1</t>
  </si>
  <si>
    <t>PGRC1</t>
  </si>
  <si>
    <t>CAC1I</t>
  </si>
  <si>
    <t>CAC1C</t>
  </si>
  <si>
    <t>CAC1G</t>
  </si>
  <si>
    <t>CAC1H</t>
  </si>
  <si>
    <t>CAC1S</t>
  </si>
  <si>
    <t>CAC1F</t>
  </si>
  <si>
    <t>CAC1D</t>
  </si>
  <si>
    <t>DOPO</t>
  </si>
  <si>
    <t>GLRA1</t>
  </si>
  <si>
    <t>GLRA2</t>
  </si>
  <si>
    <t>GLRA3</t>
  </si>
  <si>
    <t>GLRB</t>
  </si>
  <si>
    <t>ASM</t>
  </si>
  <si>
    <t>SCNAA</t>
  </si>
  <si>
    <t>NOS1</t>
  </si>
  <si>
    <t>HRH3</t>
  </si>
  <si>
    <t>KCJ10</t>
  </si>
  <si>
    <t>KCJ11</t>
  </si>
  <si>
    <t>KCJ12</t>
  </si>
  <si>
    <t>KCJ14</t>
  </si>
  <si>
    <t>KCJ15</t>
  </si>
  <si>
    <t>KCNJ8</t>
  </si>
  <si>
    <t>GRIA2</t>
  </si>
  <si>
    <t>GRIA3</t>
  </si>
  <si>
    <t>CCG1</t>
  </si>
  <si>
    <t>GRIA1</t>
  </si>
  <si>
    <t>CNR1</t>
  </si>
  <si>
    <t>CNR2</t>
  </si>
  <si>
    <t>TRPA1</t>
  </si>
  <si>
    <t>TRPM8</t>
  </si>
  <si>
    <t>GPR55</t>
  </si>
  <si>
    <t>TRPV2</t>
  </si>
  <si>
    <t>CACB2</t>
  </si>
  <si>
    <t>CAC1A</t>
  </si>
  <si>
    <t>CACB1</t>
  </si>
  <si>
    <t>CACB3</t>
  </si>
  <si>
    <t>CACB4</t>
  </si>
  <si>
    <t>CAC1B</t>
  </si>
  <si>
    <t>SCN1A</t>
  </si>
  <si>
    <t>SCNBA</t>
  </si>
  <si>
    <t>SCN3A</t>
  </si>
  <si>
    <t>SCN4A</t>
  </si>
  <si>
    <t>SCN7A</t>
  </si>
  <si>
    <t>SCN8A</t>
  </si>
  <si>
    <t>SCN9A</t>
  </si>
  <si>
    <t>CA2D1</t>
  </si>
  <si>
    <t>CA2D2</t>
  </si>
  <si>
    <t>CAC1E</t>
  </si>
  <si>
    <t>KCNQ1</t>
  </si>
  <si>
    <t>AT2C1</t>
  </si>
  <si>
    <t>CCG2</t>
  </si>
  <si>
    <t>CCG3</t>
  </si>
  <si>
    <t>CCG4</t>
  </si>
  <si>
    <t>CCG5</t>
  </si>
  <si>
    <t>CCG6</t>
  </si>
  <si>
    <t>CCG7</t>
  </si>
  <si>
    <t>CCG8</t>
  </si>
  <si>
    <t>CA2D3</t>
  </si>
  <si>
    <t>CA2D4</t>
  </si>
  <si>
    <t>KCNA5</t>
  </si>
  <si>
    <t>KCNE1</t>
  </si>
  <si>
    <t>KCNQ5</t>
  </si>
  <si>
    <t>KCMA1</t>
  </si>
  <si>
    <t>KCNN4</t>
  </si>
  <si>
    <t>AT2A1</t>
  </si>
  <si>
    <t>KCA10</t>
  </si>
  <si>
    <t>KCNA2</t>
  </si>
  <si>
    <t>KCNA3</t>
  </si>
  <si>
    <t>KCNA4</t>
  </si>
  <si>
    <t>KCNA6</t>
  </si>
  <si>
    <t>KCNB1</t>
  </si>
  <si>
    <t>KCNB2</t>
  </si>
  <si>
    <t>KCNC1</t>
  </si>
  <si>
    <t>KCNC2</t>
  </si>
  <si>
    <t>KCNC3</t>
  </si>
  <si>
    <t>KCNC4</t>
  </si>
  <si>
    <t>KCND1</t>
  </si>
  <si>
    <t>KCNE2</t>
  </si>
  <si>
    <t>KCNE3</t>
  </si>
  <si>
    <t>KCNE4</t>
  </si>
  <si>
    <t>KCNE5</t>
  </si>
  <si>
    <t>KCNF1</t>
  </si>
  <si>
    <t>KCNG1</t>
  </si>
  <si>
    <t>KCNG2</t>
  </si>
  <si>
    <t>KCNG3</t>
  </si>
  <si>
    <t>KCNG4</t>
  </si>
  <si>
    <t>KCNH3</t>
  </si>
  <si>
    <t>KCNH4</t>
  </si>
  <si>
    <t>KCNH5</t>
  </si>
  <si>
    <t>KCNH8</t>
  </si>
  <si>
    <t>KCNQ4</t>
  </si>
  <si>
    <t>KCNS1</t>
  </si>
  <si>
    <t>KCNS3</t>
  </si>
  <si>
    <t>KCNV1</t>
  </si>
  <si>
    <t>KCNV2</t>
  </si>
  <si>
    <t>KCAB1</t>
  </si>
  <si>
    <t>KCAB2</t>
  </si>
  <si>
    <t>SCN1B</t>
  </si>
  <si>
    <t>SCN2B</t>
  </si>
  <si>
    <t>SCN3B</t>
  </si>
  <si>
    <t>SCN4B</t>
  </si>
  <si>
    <t>ACHA</t>
  </si>
  <si>
    <t>PDE1B</t>
  </si>
  <si>
    <t>PDE1A</t>
  </si>
  <si>
    <t>TNNC1</t>
  </si>
  <si>
    <t>KCMB1</t>
  </si>
  <si>
    <t>KCMB2</t>
  </si>
  <si>
    <t>KCMB3</t>
  </si>
  <si>
    <t>KCMB4</t>
  </si>
  <si>
    <t>KCNN1</t>
  </si>
  <si>
    <t>KCNN2</t>
  </si>
  <si>
    <t>KCNN3</t>
  </si>
  <si>
    <t>AT2B1</t>
  </si>
  <si>
    <t>AT2B2</t>
  </si>
  <si>
    <t>AT2B3</t>
  </si>
  <si>
    <t>AT2B4</t>
  </si>
  <si>
    <t>KCNJ6</t>
  </si>
  <si>
    <t>KCNK2</t>
  </si>
  <si>
    <t>KCNJ2</t>
  </si>
  <si>
    <t>KCNJ4</t>
  </si>
  <si>
    <t>CAH1</t>
  </si>
  <si>
    <t>CAH4</t>
  </si>
  <si>
    <t>GRIK1</t>
  </si>
  <si>
    <t>GRIK2</t>
  </si>
  <si>
    <t>GRIK3</t>
  </si>
  <si>
    <t>GRIK4</t>
  </si>
  <si>
    <t>GRIK5</t>
  </si>
  <si>
    <t>AA2AR</t>
  </si>
  <si>
    <t>MDR1</t>
  </si>
  <si>
    <t>ATPD</t>
  </si>
  <si>
    <t>S10A4</t>
  </si>
  <si>
    <t>COLI</t>
  </si>
  <si>
    <t>MYLK</t>
  </si>
  <si>
    <t>ST1C4</t>
  </si>
  <si>
    <t>AT2C2</t>
  </si>
  <si>
    <t>AT2A2</t>
  </si>
  <si>
    <t>LPAR4</t>
  </si>
  <si>
    <t>LPAR6</t>
  </si>
  <si>
    <t>P2RX1</t>
  </si>
  <si>
    <t>P2RX2</t>
  </si>
  <si>
    <t>P2RX3</t>
  </si>
  <si>
    <t>P2RX4</t>
  </si>
  <si>
    <t>P2RX5</t>
  </si>
  <si>
    <t>P2RX6</t>
  </si>
  <si>
    <t>P2RX7</t>
  </si>
  <si>
    <t>P2RY1</t>
  </si>
  <si>
    <t>P2Y11</t>
  </si>
  <si>
    <t>P2Y12</t>
  </si>
  <si>
    <t>P2Y13</t>
  </si>
  <si>
    <t>P2Y14</t>
  </si>
  <si>
    <t>P2RY2</t>
  </si>
  <si>
    <t>P2RY4</t>
  </si>
  <si>
    <t>P2RY8</t>
  </si>
  <si>
    <t>P2Y10</t>
  </si>
  <si>
    <t>NU1M</t>
  </si>
  <si>
    <t>NPSR1</t>
  </si>
  <si>
    <t>KCNJ3</t>
  </si>
  <si>
    <t>GBG2</t>
  </si>
  <si>
    <t>OPSD</t>
  </si>
  <si>
    <t>KCNK3</t>
  </si>
  <si>
    <t>KCNK9</t>
  </si>
  <si>
    <t>AT1A1</t>
  </si>
  <si>
    <t>NISCH</t>
  </si>
  <si>
    <t>ASIC3</t>
  </si>
  <si>
    <t>KCNJ9</t>
  </si>
  <si>
    <t>TAU</t>
  </si>
  <si>
    <t>SUIS</t>
  </si>
  <si>
    <t>KCNK1</t>
  </si>
  <si>
    <t>KCNK6</t>
  </si>
  <si>
    <t>DDC</t>
  </si>
  <si>
    <t>TGFB1</t>
  </si>
  <si>
    <t>OPRX</t>
  </si>
  <si>
    <t>AA2BR</t>
  </si>
  <si>
    <t>PDE4B</t>
  </si>
  <si>
    <t>AA3R</t>
  </si>
  <si>
    <t>PDE4A</t>
  </si>
  <si>
    <t>PDE4D</t>
  </si>
  <si>
    <t>PDE4C</t>
  </si>
  <si>
    <t>5NTD</t>
  </si>
  <si>
    <t>PDE2A</t>
  </si>
  <si>
    <t>TNFA</t>
  </si>
  <si>
    <t>NGF</t>
  </si>
  <si>
    <t>PK3CG</t>
  </si>
  <si>
    <t>PK3CA</t>
  </si>
  <si>
    <t>MTOR</t>
  </si>
  <si>
    <t>PK3CD</t>
  </si>
  <si>
    <t>PK3CB</t>
  </si>
  <si>
    <t>P30542, P54289, Q9NY47, O43525, Q9NR82, Q00975</t>
  </si>
  <si>
    <t>Arotinolol</t>
  </si>
  <si>
    <t>BL-1020</t>
  </si>
  <si>
    <t>YKP-1358</t>
  </si>
  <si>
    <t>Dihydroergocristine</t>
  </si>
  <si>
    <t>Amitifadine</t>
  </si>
  <si>
    <t>Revefenacin</t>
  </si>
  <si>
    <t>Darifenacin</t>
  </si>
  <si>
    <t>Homatropine methylbromide</t>
  </si>
  <si>
    <t>Glycopyrronium</t>
  </si>
  <si>
    <t>Bethanechol</t>
  </si>
  <si>
    <t>Tolterodine</t>
  </si>
  <si>
    <t>Pilocarpine</t>
  </si>
  <si>
    <t>Tiotropium</t>
  </si>
  <si>
    <t>Solifenacin</t>
  </si>
  <si>
    <t>ALKS 27</t>
  </si>
  <si>
    <t>Fesoterodine</t>
  </si>
  <si>
    <t>Methacholine</t>
  </si>
  <si>
    <t>Aclidinium</t>
  </si>
  <si>
    <t>Umeclidinium</t>
  </si>
  <si>
    <t>Homatropine</t>
  </si>
  <si>
    <t>Rociverine</t>
  </si>
  <si>
    <t>Hydroxyzine</t>
  </si>
  <si>
    <t>Xylometazoline</t>
  </si>
  <si>
    <t>Silodosin</t>
  </si>
  <si>
    <t>Brompheniramine</t>
  </si>
  <si>
    <t>Thonzylamine</t>
  </si>
  <si>
    <t>Betahistine</t>
  </si>
  <si>
    <t>Cirazoline</t>
  </si>
  <si>
    <t>Moxisylyte</t>
  </si>
  <si>
    <t>Indigotindisulfonic acid</t>
  </si>
  <si>
    <t>CAC1C, CAC1H, CALM1, GBRA1, KCNH2</t>
  </si>
  <si>
    <t>ADA1A, ADA2A, AOFA, AOFB, HRH1, SC6A2, SC6A3, SC6A4, VMAT2</t>
  </si>
  <si>
    <t>ADRB1, ADRB2, TNFA</t>
  </si>
  <si>
    <t>ADRB1, ADRB2, ADRB3</t>
  </si>
  <si>
    <t>2-HYDROXYMETHYL-6-OCTYLSULFANYL-TETRAHYDRO-PYRAN-3,4,5-TRIOL, Acebutolol, Alprenolol, Arotinolol, Atenolol, Befunolol, Betaxolol, Bethanidine, Bevantolol, Bisoprolol, Bopindolol, Carteolol, Celiprolol, Cryptenamine, Dipivefrin, DL-Methylephedrine, Droxidopa, Ephedrine, Isoetharine, Isoprenaline, Labetalol, Levobunolol, Mephentermine, Metipranolol, Mirabegron, Nadolol, Norepinephrine, Penbutolol, Phenoxybenzamine, Phenylpropanolamine, Pindolol, Pirbuterol, Propafenone, Propranolol, Racepinephrine, Sotalol, Timolol</t>
  </si>
  <si>
    <t>Acepromazine, Alizapride, Amantadine, Amisulpride, Amitifadine, Amitriptyline, Amoxapine, Amphetamine, Aniracetam, Apomorphine, Aripiprazole, AS-8112, Asenapine, Bicifadine, Bifeprunox, BL-1020, Blonanserin, Brasofensine, Brexpiprazole, Bromocriptine, Bromopride, Buspirone, Cabergoline, Cariprazine, Carphenazine, Chlorprothixene, Cinnarizine, Clozapine, Desipramine, Dihydro-alpha-ergocryptine, Dihydroergocornine, Dihydroergocristine, Dihydroergotamine, Domperidone, Dopamine, Doxepin, Droperidol, Ephedra sinica root, Ergoloid mesylate, Ergotamine, Escitalopram, Etoperidone, Fluoxetine, Flupentixol, Fluspirilene, Haloperidol, Hydrocodone, Iloperidone, Imipramine, JNJ-37822681, Ketamine, Ketobemidone, Lisuride, Loxapine, Lumateperone, Lurasidone, Maprotiline, Melperone, Memantine, Meperidine, Mesoridazine, Methadone, Methotrimeprazine, Metoclopramide, Mianserin, Minaprine, Molindone, Naltrexone, Nefazodone, Norclozapine, Nortriptyline, Ocaperidone, Olanzapine, Ondansetron, Orphenadrine, Paliperidone, Pardoprunox, Paroxetine, Pergolide, Perospirone, Pipamperone, Pipotiazine, Piribedil, Pramipexole, Prochlorperazine, Promazine, Propiomazine, Quetiapine, Quinagolide, Raclopride, Remoxipride, Risperidone, Rolicyclidine, Ropinirole, Rotigotine, Sarizotan, Sertindole, Setiptiline, Sulpiride, Sumanirole, Tetrahydrocannabivarin, Tetrahydropalmatine, Thiethylperazine, Thioproperazine, Thioridazine, Thiothixene, Tianeptine, Tramadol, Triflupromazine, Trimipramine, Viloxazine, Vortioxetine, YKP-1358, Yohimbine, Ziprasidone, Zotepine, Zuclopenthixol</t>
  </si>
  <si>
    <t>Agmatine, Azimilide, Bepridil, Cocaine, Dofetilide, Enflurane, Flunarizine, Gabapentin, Halothane, Isavuconazole, Isoflurane, Lamotrigine, Loperamide, Nicardipine, Pentoxyverine, Perphenazine, Pimozide, Promethazine, Ranolazine, Ritodrine, Topiramate, Trifluoperazine, Trimebutine, Verapamil</t>
  </si>
  <si>
    <t>4-Methoxyamphetamine, Benzatropine, Benzphetamine, Diphenylpyraline, Metamfetamine</t>
  </si>
  <si>
    <t>Aclidinium, ALKS 27, Apraclonidine, Aranidipine, Astemizole, Atropine, Benzquinamide, Betahistine, Bethanechol, Brompheniramine, Butriptyline, Captodiame, Cinitapride, Cirazoline, Cisapride, Clonidine, Cyproheptadine, Darifenacin, Disopyramide, Dosulepin, Dotarizine, Doxazosin, Epicept NP-1, Epinastine, Esmirtazapine, Fenfluramine, Fenoldopam, Fesoterodine, Flibanserin, Glycopyrronium, Homatropine, Homatropine methylbromide, HY10275, Hydroxyzine, Indigotindisulfonic acid, Lofexidine, Loratadine, Lorpiprazole, Methacholine, Methantheline, Methyldopa, Metixene, Mirtazapine, Moxisylyte, Naphazoline, OBE101, OPC-28326, Oxymetazoline, Phentolamine, Pilocarpine, Pimavanserin, Pirlindole, Pizotifen, Prazosin, Propiverine, Quinidine, Revefenacin, Rociverine, Scopolamine, Silodosin, Solifenacin, Tegaserod, Terazosin, Terfenadine, Tetryzoline, Thonzylamine, Tiotropium, Tizanidine, Tolazoline, Tolterodine, Trazodone, Trihexyphenidyl, Umeclidinium, Xylometazoline</t>
  </si>
  <si>
    <t>Adenosine, Defibrotide, Doxofylline, Dyphylline, Enprofylline, Etomidate, Istradefylline, Midazolam, Pentoxifylline, Theobromine</t>
  </si>
  <si>
    <t>Clenbuterol, Epinephrine, XL765</t>
  </si>
  <si>
    <t>0.753 to 0.972</t>
  </si>
  <si>
    <t>0.762 to 0.912</t>
  </si>
  <si>
    <t>0.751 to 0.872</t>
  </si>
  <si>
    <t>0.750 to 0.785</t>
  </si>
  <si>
    <t>0.750 to 0.893</t>
  </si>
  <si>
    <t>0.759 to 0.839</t>
  </si>
  <si>
    <t>0.764 to 0.849</t>
  </si>
  <si>
    <t>TOP TARGETS TABLE:</t>
  </si>
  <si>
    <t>ALL TARGETS PER GROUP:</t>
  </si>
  <si>
    <t>Index</t>
  </si>
  <si>
    <t>DBID_List</t>
  </si>
  <si>
    <t>Compound_names</t>
  </si>
  <si>
    <t>Targets</t>
  </si>
  <si>
    <t>5HT1A, 5HT2A, 5HT2C, ADA1A, ADA1B, ADA2A, ADA2B, ADA2C, DRD1, DRD2, DRD3</t>
  </si>
  <si>
    <t>AA1R, AA2AR, GBRA1</t>
  </si>
  <si>
    <t>ACM1, ACM2, ACM3, ACM4, ACM5, ADA1A, ADA2A</t>
  </si>
  <si>
    <t>Positive-class probability (&gt;75%)</t>
  </si>
  <si>
    <t>Cluster</t>
  </si>
  <si>
    <t>Group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</si>
</sst>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9" fontId="2" fillId="0" borderId="0" xfId="1" applyFont="1" applyAlignment="1">
      <alignment horizontal="center" vertical="center"/>
    </xf>
    <xf numFmtId="9" fontId="0" fillId="0" borderId="0" xfId="1" applyFont="1" applyAlignment="1">
      <alignment horizontal="center"/>
    </xf>
    <xf numFmtId="0" fontId="2" fillId="0" borderId="0" xfId="0" applyFont="1" applyAlignment="1">
      <alignment horizontal="left" vertical="center"/>
    </xf>
    <xf numFmtId="9" fontId="2" fillId="0" borderId="0" xfId="1" applyFont="1" applyAlignment="1">
      <alignment horizontal="center"/>
    </xf>
    <xf numFmtId="9" fontId="0" fillId="0" borderId="0" xfId="0" applyNumberFormat="1" applyAlignment="1">
      <alignment horizontal="center"/>
    </xf>
    <xf numFmtId="9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9" fontId="0" fillId="0" borderId="0" xfId="1" applyFont="1" applyAlignment="1">
      <alignment horizontal="left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6E247-2612-41E1-A37F-187ED9995489}">
  <dimension ref="A1:H351"/>
  <sheetViews>
    <sheetView tabSelected="1" workbookViewId="0">
      <selection activeCell="B2" sqref="B2"/>
    </sheetView>
  </sheetViews>
  <sheetFormatPr defaultRowHeight="14.25"/>
  <cols>
    <col min="3" max="3" width="58.75" bestFit="1" customWidth="1"/>
    <col min="8" max="8" width="30.125" bestFit="1" customWidth="1"/>
  </cols>
  <sheetData>
    <row r="1" spans="1:8" ht="15">
      <c r="A1" s="26" t="s">
        <v>1659</v>
      </c>
      <c r="B1" s="26" t="s">
        <v>1660</v>
      </c>
      <c r="C1" s="26" t="s">
        <v>1661</v>
      </c>
      <c r="D1" s="26" t="s">
        <v>1662</v>
      </c>
      <c r="E1" s="26" t="s">
        <v>647</v>
      </c>
      <c r="F1" s="26" t="s">
        <v>648</v>
      </c>
      <c r="G1" s="26" t="s">
        <v>1667</v>
      </c>
      <c r="H1" s="26" t="s">
        <v>1666</v>
      </c>
    </row>
    <row r="2" spans="1:8">
      <c r="A2" s="3">
        <v>143</v>
      </c>
      <c r="B2" t="s">
        <v>0</v>
      </c>
      <c r="C2" t="s">
        <v>657</v>
      </c>
      <c r="D2" t="s">
        <v>50</v>
      </c>
      <c r="E2">
        <v>-1.6761223080000001</v>
      </c>
      <c r="F2">
        <v>2.7171483040000002</v>
      </c>
      <c r="G2" s="3">
        <v>1</v>
      </c>
      <c r="H2" s="17">
        <v>0.92595119299999995</v>
      </c>
    </row>
    <row r="3" spans="1:8">
      <c r="A3" s="3">
        <v>143</v>
      </c>
      <c r="B3" t="s">
        <v>0</v>
      </c>
      <c r="C3" t="s">
        <v>658</v>
      </c>
      <c r="D3" t="s">
        <v>50</v>
      </c>
      <c r="E3">
        <v>-1.6761223080000001</v>
      </c>
      <c r="F3">
        <v>2.7171483040000002</v>
      </c>
      <c r="G3" s="3">
        <v>1</v>
      </c>
      <c r="H3" s="17">
        <v>0.92595119299999995</v>
      </c>
    </row>
    <row r="4" spans="1:8">
      <c r="A4" s="3">
        <v>143</v>
      </c>
      <c r="B4" t="s">
        <v>0</v>
      </c>
      <c r="C4" t="s">
        <v>659</v>
      </c>
      <c r="D4" t="s">
        <v>50</v>
      </c>
      <c r="E4">
        <v>-1.6761223080000001</v>
      </c>
      <c r="F4">
        <v>2.7171483040000002</v>
      </c>
      <c r="G4" s="3">
        <v>1</v>
      </c>
      <c r="H4" s="17">
        <v>0.92595119299999995</v>
      </c>
    </row>
    <row r="5" spans="1:8">
      <c r="A5" s="3">
        <v>143</v>
      </c>
      <c r="B5" t="s">
        <v>0</v>
      </c>
      <c r="C5" t="s">
        <v>660</v>
      </c>
      <c r="D5" t="s">
        <v>50</v>
      </c>
      <c r="E5">
        <v>-1.6761223080000001</v>
      </c>
      <c r="F5">
        <v>2.7171483040000002</v>
      </c>
      <c r="G5" s="3">
        <v>1</v>
      </c>
      <c r="H5" s="17">
        <v>0.92595119299999995</v>
      </c>
    </row>
    <row r="6" spans="1:8">
      <c r="A6" s="3">
        <v>143</v>
      </c>
      <c r="B6" t="s">
        <v>0</v>
      </c>
      <c r="C6" t="s">
        <v>661</v>
      </c>
      <c r="D6" t="s">
        <v>50</v>
      </c>
      <c r="E6">
        <v>-1.6761223080000001</v>
      </c>
      <c r="F6">
        <v>2.7171483040000002</v>
      </c>
      <c r="G6" s="3">
        <v>1</v>
      </c>
      <c r="H6" s="17">
        <v>0.92595119299999995</v>
      </c>
    </row>
    <row r="7" spans="1:8">
      <c r="A7" s="3">
        <v>143</v>
      </c>
      <c r="B7" t="s">
        <v>0</v>
      </c>
      <c r="C7" t="s">
        <v>662</v>
      </c>
      <c r="D7" t="s">
        <v>50</v>
      </c>
      <c r="E7">
        <v>-1.6761223080000001</v>
      </c>
      <c r="F7">
        <v>2.7171483040000002</v>
      </c>
      <c r="G7" s="3">
        <v>1</v>
      </c>
      <c r="H7" s="17">
        <v>0.92595119299999995</v>
      </c>
    </row>
    <row r="8" spans="1:8">
      <c r="A8" s="3">
        <v>143</v>
      </c>
      <c r="B8" t="s">
        <v>0</v>
      </c>
      <c r="C8" t="s">
        <v>663</v>
      </c>
      <c r="D8" t="s">
        <v>50</v>
      </c>
      <c r="E8">
        <v>-1.6761223080000001</v>
      </c>
      <c r="F8">
        <v>2.7171483040000002</v>
      </c>
      <c r="G8" s="3">
        <v>1</v>
      </c>
      <c r="H8" s="17">
        <v>0.92595119299999995</v>
      </c>
    </row>
    <row r="9" spans="1:8">
      <c r="A9" s="3">
        <v>143</v>
      </c>
      <c r="B9" t="s">
        <v>0</v>
      </c>
      <c r="C9" t="s">
        <v>664</v>
      </c>
      <c r="D9" t="s">
        <v>50</v>
      </c>
      <c r="E9">
        <v>-1.6761223080000001</v>
      </c>
      <c r="F9">
        <v>2.7171483040000002</v>
      </c>
      <c r="G9" s="3">
        <v>1</v>
      </c>
      <c r="H9" s="17">
        <v>0.92595119299999995</v>
      </c>
    </row>
    <row r="10" spans="1:8">
      <c r="A10" s="3">
        <v>143</v>
      </c>
      <c r="B10" t="s">
        <v>0</v>
      </c>
      <c r="C10" t="s">
        <v>665</v>
      </c>
      <c r="D10" t="s">
        <v>50</v>
      </c>
      <c r="E10">
        <v>-1.6761223080000001</v>
      </c>
      <c r="F10">
        <v>2.7171483040000002</v>
      </c>
      <c r="G10" s="3">
        <v>1</v>
      </c>
      <c r="H10" s="17">
        <v>0.92595119299999995</v>
      </c>
    </row>
    <row r="11" spans="1:8">
      <c r="A11" s="3">
        <v>143</v>
      </c>
      <c r="B11" t="s">
        <v>0</v>
      </c>
      <c r="C11" t="s">
        <v>666</v>
      </c>
      <c r="D11" t="s">
        <v>50</v>
      </c>
      <c r="E11">
        <v>-1.6761223080000001</v>
      </c>
      <c r="F11">
        <v>2.7171483040000002</v>
      </c>
      <c r="G11" s="3">
        <v>1</v>
      </c>
      <c r="H11" s="17">
        <v>0.92595119299999995</v>
      </c>
    </row>
    <row r="12" spans="1:8">
      <c r="A12" s="3">
        <v>143</v>
      </c>
      <c r="B12" t="s">
        <v>0</v>
      </c>
      <c r="C12" t="s">
        <v>667</v>
      </c>
      <c r="D12" t="s">
        <v>50</v>
      </c>
      <c r="E12">
        <v>-1.6761223080000001</v>
      </c>
      <c r="F12">
        <v>2.7171483040000002</v>
      </c>
      <c r="G12" s="3">
        <v>1</v>
      </c>
      <c r="H12" s="17">
        <v>0.92595119299999995</v>
      </c>
    </row>
    <row r="13" spans="1:8">
      <c r="A13" s="3">
        <v>143</v>
      </c>
      <c r="B13" t="s">
        <v>0</v>
      </c>
      <c r="C13" t="s">
        <v>668</v>
      </c>
      <c r="D13" t="s">
        <v>50</v>
      </c>
      <c r="E13">
        <v>-1.6761223080000001</v>
      </c>
      <c r="F13">
        <v>2.7171483040000002</v>
      </c>
      <c r="G13" s="3">
        <v>1</v>
      </c>
      <c r="H13" s="17">
        <v>0.92595119299999995</v>
      </c>
    </row>
    <row r="14" spans="1:8">
      <c r="A14" s="3">
        <v>163</v>
      </c>
      <c r="B14" t="s">
        <v>26</v>
      </c>
      <c r="C14" t="s">
        <v>27</v>
      </c>
      <c r="D14" t="s">
        <v>65</v>
      </c>
      <c r="E14">
        <v>-6.3456153869999996</v>
      </c>
      <c r="F14">
        <v>0.301102757</v>
      </c>
      <c r="G14" s="3">
        <v>1</v>
      </c>
      <c r="H14" s="17">
        <v>0.91125866499999997</v>
      </c>
    </row>
    <row r="15" spans="1:8">
      <c r="A15" s="3">
        <v>260</v>
      </c>
      <c r="B15" t="s">
        <v>127</v>
      </c>
      <c r="C15" t="s">
        <v>128</v>
      </c>
      <c r="D15" t="s">
        <v>129</v>
      </c>
      <c r="E15">
        <v>-8.9326372149999997</v>
      </c>
      <c r="F15">
        <v>-0.29705593000000002</v>
      </c>
      <c r="G15" s="3">
        <v>1</v>
      </c>
      <c r="H15" s="17">
        <v>0.81470959600000004</v>
      </c>
    </row>
    <row r="16" spans="1:8">
      <c r="A16" s="3">
        <v>281</v>
      </c>
      <c r="B16" t="s">
        <v>28</v>
      </c>
      <c r="C16" t="s">
        <v>29</v>
      </c>
      <c r="D16" t="s">
        <v>66</v>
      </c>
      <c r="E16">
        <v>-3.4206478599999999</v>
      </c>
      <c r="F16">
        <v>-2.0493683819999999</v>
      </c>
      <c r="G16" s="3">
        <v>1</v>
      </c>
      <c r="H16" s="17">
        <v>0.91355119299999998</v>
      </c>
    </row>
    <row r="17" spans="1:8">
      <c r="A17" s="3">
        <v>318</v>
      </c>
      <c r="B17" t="s">
        <v>153</v>
      </c>
      <c r="C17" t="s">
        <v>154</v>
      </c>
      <c r="D17" t="s">
        <v>155</v>
      </c>
      <c r="E17">
        <v>-3.6451947690000002</v>
      </c>
      <c r="F17">
        <v>-3.9043488499999999</v>
      </c>
      <c r="G17" s="3">
        <v>1</v>
      </c>
      <c r="H17" s="17">
        <v>0.78554446099999997</v>
      </c>
    </row>
    <row r="18" spans="1:8">
      <c r="A18" s="3">
        <v>341</v>
      </c>
      <c r="B18" t="s">
        <v>4</v>
      </c>
      <c r="C18" t="s">
        <v>5</v>
      </c>
      <c r="D18" t="s">
        <v>53</v>
      </c>
      <c r="E18">
        <v>2.1154305930000001</v>
      </c>
      <c r="F18">
        <v>2.7839987279999998</v>
      </c>
      <c r="G18" s="3">
        <v>1</v>
      </c>
      <c r="H18" s="17">
        <v>0.97142788599999996</v>
      </c>
    </row>
    <row r="19" spans="1:8">
      <c r="A19" s="3">
        <v>389</v>
      </c>
      <c r="B19" t="s">
        <v>38</v>
      </c>
      <c r="C19" t="s">
        <v>669</v>
      </c>
      <c r="D19" t="s">
        <v>71</v>
      </c>
      <c r="E19">
        <v>-4.0203127859999999</v>
      </c>
      <c r="F19">
        <v>7.618742943</v>
      </c>
      <c r="G19" s="3">
        <v>1</v>
      </c>
      <c r="H19" s="17">
        <v>0.933551193</v>
      </c>
    </row>
    <row r="20" spans="1:8">
      <c r="A20" s="3">
        <v>389</v>
      </c>
      <c r="B20" t="s">
        <v>38</v>
      </c>
      <c r="C20" t="s">
        <v>670</v>
      </c>
      <c r="D20" t="s">
        <v>71</v>
      </c>
      <c r="E20">
        <v>-4.0203127859999999</v>
      </c>
      <c r="F20">
        <v>7.618742943</v>
      </c>
      <c r="G20" s="3">
        <v>1</v>
      </c>
      <c r="H20" s="17">
        <v>0.933551193</v>
      </c>
    </row>
    <row r="21" spans="1:8">
      <c r="A21" s="3">
        <v>389</v>
      </c>
      <c r="B21" t="s">
        <v>38</v>
      </c>
      <c r="C21" t="s">
        <v>671</v>
      </c>
      <c r="D21" t="s">
        <v>71</v>
      </c>
      <c r="E21">
        <v>-4.0203127859999999</v>
      </c>
      <c r="F21">
        <v>7.618742943</v>
      </c>
      <c r="G21" s="3">
        <v>1</v>
      </c>
      <c r="H21" s="17">
        <v>0.933551193</v>
      </c>
    </row>
    <row r="22" spans="1:8">
      <c r="A22" s="3">
        <v>403</v>
      </c>
      <c r="B22" t="s">
        <v>561</v>
      </c>
      <c r="C22" t="s">
        <v>1292</v>
      </c>
      <c r="D22" t="s">
        <v>562</v>
      </c>
      <c r="E22">
        <v>-2.7390711310000002</v>
      </c>
      <c r="F22">
        <v>0.35622677200000002</v>
      </c>
      <c r="G22" s="3">
        <v>1</v>
      </c>
      <c r="H22" s="17">
        <v>0.90515119300000002</v>
      </c>
    </row>
    <row r="23" spans="1:8">
      <c r="A23" s="3">
        <v>403</v>
      </c>
      <c r="B23" t="s">
        <v>561</v>
      </c>
      <c r="C23" t="s">
        <v>1609</v>
      </c>
      <c r="D23" t="s">
        <v>562</v>
      </c>
      <c r="E23">
        <v>-2.7390711310000002</v>
      </c>
      <c r="F23">
        <v>0.35622677200000002</v>
      </c>
      <c r="G23" s="3">
        <v>1</v>
      </c>
      <c r="H23" s="17">
        <v>0.90515119300000002</v>
      </c>
    </row>
    <row r="24" spans="1:8">
      <c r="A24" s="3">
        <v>506</v>
      </c>
      <c r="B24" t="s">
        <v>8</v>
      </c>
      <c r="C24" t="s">
        <v>9</v>
      </c>
      <c r="D24" t="s">
        <v>55</v>
      </c>
      <c r="E24">
        <v>-3.357403278</v>
      </c>
      <c r="F24">
        <v>2.4918870929999999</v>
      </c>
      <c r="G24" s="3">
        <v>1</v>
      </c>
      <c r="H24" s="17">
        <v>0.93475119299999998</v>
      </c>
    </row>
    <row r="25" spans="1:8">
      <c r="A25" s="3">
        <v>547</v>
      </c>
      <c r="B25" t="s">
        <v>39</v>
      </c>
      <c r="C25" t="s">
        <v>40</v>
      </c>
      <c r="D25" t="s">
        <v>72</v>
      </c>
      <c r="E25">
        <v>-4.1014256480000002</v>
      </c>
      <c r="F25">
        <v>5.7916278840000004</v>
      </c>
      <c r="G25" s="3">
        <v>1</v>
      </c>
      <c r="H25" s="17">
        <v>0.937551193</v>
      </c>
    </row>
    <row r="26" spans="1:8">
      <c r="A26" s="3">
        <v>578</v>
      </c>
      <c r="B26" t="s">
        <v>278</v>
      </c>
      <c r="C26" t="s">
        <v>279</v>
      </c>
      <c r="D26" t="s">
        <v>280</v>
      </c>
      <c r="E26">
        <v>-5.7998638150000001</v>
      </c>
      <c r="F26">
        <v>-5.0872254369999999</v>
      </c>
      <c r="G26" s="3">
        <v>1</v>
      </c>
      <c r="H26" s="17">
        <v>0.83332136599999995</v>
      </c>
    </row>
    <row r="27" spans="1:8">
      <c r="A27" s="3">
        <v>649</v>
      </c>
      <c r="B27" t="s">
        <v>10</v>
      </c>
      <c r="C27" t="s">
        <v>11</v>
      </c>
      <c r="D27" t="s">
        <v>56</v>
      </c>
      <c r="E27">
        <v>-2.7248158450000002</v>
      </c>
      <c r="F27">
        <v>4.3043246269999997</v>
      </c>
      <c r="G27" s="3">
        <v>1</v>
      </c>
      <c r="H27" s="17">
        <v>0.902351193</v>
      </c>
    </row>
    <row r="28" spans="1:8">
      <c r="A28" s="3">
        <v>720</v>
      </c>
      <c r="B28" t="s">
        <v>12</v>
      </c>
      <c r="C28" t="s">
        <v>13</v>
      </c>
      <c r="D28" t="s">
        <v>57</v>
      </c>
      <c r="E28">
        <v>3.8305690289999998</v>
      </c>
      <c r="F28">
        <v>3.8217713830000002</v>
      </c>
      <c r="G28" s="3">
        <v>1</v>
      </c>
      <c r="H28" s="17">
        <v>0.97182788600000003</v>
      </c>
    </row>
    <row r="29" spans="1:8">
      <c r="A29" s="3">
        <v>786</v>
      </c>
      <c r="B29" t="s">
        <v>14</v>
      </c>
      <c r="C29" t="s">
        <v>15</v>
      </c>
      <c r="D29" t="s">
        <v>58</v>
      </c>
      <c r="E29">
        <v>-0.96139407200000004</v>
      </c>
      <c r="F29">
        <v>0.57727927000000001</v>
      </c>
      <c r="G29" s="3">
        <v>1</v>
      </c>
      <c r="H29" s="17">
        <v>0.912351193</v>
      </c>
    </row>
    <row r="30" spans="1:8">
      <c r="A30" s="3">
        <v>796</v>
      </c>
      <c r="B30" t="s">
        <v>41</v>
      </c>
      <c r="C30" t="s">
        <v>42</v>
      </c>
      <c r="D30" t="s">
        <v>73</v>
      </c>
      <c r="E30">
        <v>-2.067201614</v>
      </c>
      <c r="F30">
        <v>7.2259039879999998</v>
      </c>
      <c r="G30" s="3">
        <v>1</v>
      </c>
      <c r="H30" s="17">
        <v>0.92315119300000004</v>
      </c>
    </row>
    <row r="31" spans="1:8">
      <c r="A31" s="3">
        <v>798</v>
      </c>
      <c r="B31" t="s">
        <v>342</v>
      </c>
      <c r="C31" t="s">
        <v>343</v>
      </c>
      <c r="D31" t="s">
        <v>344</v>
      </c>
      <c r="E31">
        <v>-1.2289443019999999</v>
      </c>
      <c r="F31">
        <v>-1.1355158089999999</v>
      </c>
      <c r="G31" s="3">
        <v>1</v>
      </c>
      <c r="H31" s="17">
        <v>0.91555119299999999</v>
      </c>
    </row>
    <row r="32" spans="1:8">
      <c r="A32" s="3">
        <v>799</v>
      </c>
      <c r="B32" t="s">
        <v>30</v>
      </c>
      <c r="C32" t="s">
        <v>31</v>
      </c>
      <c r="D32" t="s">
        <v>67</v>
      </c>
      <c r="E32">
        <v>-6.1300764079999999</v>
      </c>
      <c r="F32">
        <v>-1.705720305</v>
      </c>
      <c r="G32" s="3">
        <v>1</v>
      </c>
      <c r="H32" s="17">
        <v>0.91315119300000003</v>
      </c>
    </row>
    <row r="33" spans="1:8">
      <c r="A33" s="3">
        <v>1558</v>
      </c>
      <c r="B33" t="s">
        <v>32</v>
      </c>
      <c r="C33" t="s">
        <v>33</v>
      </c>
      <c r="D33" t="s">
        <v>68</v>
      </c>
      <c r="E33">
        <v>-4.7938375469999999</v>
      </c>
      <c r="F33">
        <v>-0.71079236300000004</v>
      </c>
      <c r="G33" s="3">
        <v>1</v>
      </c>
      <c r="H33" s="17">
        <v>0.91755119299999999</v>
      </c>
    </row>
    <row r="34" spans="1:8">
      <c r="A34" s="3">
        <v>1881</v>
      </c>
      <c r="B34" t="s">
        <v>407</v>
      </c>
      <c r="C34" t="s">
        <v>130</v>
      </c>
      <c r="D34" t="s">
        <v>408</v>
      </c>
      <c r="E34">
        <v>-7.8189573289999998</v>
      </c>
      <c r="F34">
        <v>-1.9269133810000001</v>
      </c>
      <c r="G34" s="3">
        <v>1</v>
      </c>
      <c r="H34" s="17">
        <v>0.86235119299999996</v>
      </c>
    </row>
    <row r="35" spans="1:8">
      <c r="A35" s="3">
        <v>2165</v>
      </c>
      <c r="B35" t="s">
        <v>414</v>
      </c>
      <c r="C35" t="s">
        <v>415</v>
      </c>
      <c r="D35" t="s">
        <v>416</v>
      </c>
      <c r="E35">
        <v>-6.0270218849999999</v>
      </c>
      <c r="F35">
        <v>3.8923795220000001</v>
      </c>
      <c r="G35" s="3">
        <v>1</v>
      </c>
      <c r="H35" s="17">
        <v>0.75267820699999999</v>
      </c>
    </row>
    <row r="36" spans="1:8">
      <c r="A36" s="3">
        <v>2217</v>
      </c>
      <c r="B36" t="s">
        <v>423</v>
      </c>
      <c r="C36" t="s">
        <v>417</v>
      </c>
      <c r="D36" t="s">
        <v>424</v>
      </c>
      <c r="E36">
        <v>-4.5636253360000003</v>
      </c>
      <c r="F36">
        <v>3.3815479279999998</v>
      </c>
      <c r="G36" s="3">
        <v>1</v>
      </c>
      <c r="H36" s="17">
        <v>0.78467820700000002</v>
      </c>
    </row>
    <row r="37" spans="1:8">
      <c r="A37" s="3">
        <v>2347</v>
      </c>
      <c r="B37" t="s">
        <v>34</v>
      </c>
      <c r="C37" t="s">
        <v>35</v>
      </c>
      <c r="D37" t="s">
        <v>69</v>
      </c>
      <c r="E37">
        <v>-6.8763308529999998</v>
      </c>
      <c r="F37">
        <v>-3.5240318780000002</v>
      </c>
      <c r="G37" s="3">
        <v>1</v>
      </c>
      <c r="H37" s="17">
        <v>0.91315119300000003</v>
      </c>
    </row>
    <row r="38" spans="1:8">
      <c r="A38" s="3">
        <v>2357</v>
      </c>
      <c r="B38" t="s">
        <v>36</v>
      </c>
      <c r="C38" t="s">
        <v>37</v>
      </c>
      <c r="D38" t="s">
        <v>70</v>
      </c>
      <c r="E38">
        <v>-5.1579313280000001</v>
      </c>
      <c r="F38">
        <v>-2.9525740150000002</v>
      </c>
      <c r="G38" s="3">
        <v>1</v>
      </c>
      <c r="H38" s="17">
        <v>0.91315119300000003</v>
      </c>
    </row>
    <row r="39" spans="1:8">
      <c r="A39" s="3">
        <v>131</v>
      </c>
      <c r="B39" t="s">
        <v>78</v>
      </c>
      <c r="C39" t="s">
        <v>79</v>
      </c>
      <c r="D39" t="s">
        <v>80</v>
      </c>
      <c r="E39">
        <v>25.027156829999999</v>
      </c>
      <c r="F39">
        <v>20.517597200000001</v>
      </c>
      <c r="G39" s="3">
        <v>2</v>
      </c>
      <c r="H39" s="17">
        <v>0.84542630299999999</v>
      </c>
    </row>
    <row r="40" spans="1:8">
      <c r="A40" s="3">
        <v>142</v>
      </c>
      <c r="B40" t="s">
        <v>82</v>
      </c>
      <c r="C40" t="s">
        <v>83</v>
      </c>
      <c r="D40" t="s">
        <v>84</v>
      </c>
      <c r="E40">
        <v>28.108068469999999</v>
      </c>
      <c r="F40">
        <v>19.240165709999999</v>
      </c>
      <c r="G40" s="3">
        <v>2</v>
      </c>
      <c r="H40" s="17">
        <v>0.84742032199999995</v>
      </c>
    </row>
    <row r="41" spans="1:8">
      <c r="A41" s="3">
        <v>181</v>
      </c>
      <c r="B41" t="s">
        <v>485</v>
      </c>
      <c r="C41" t="s">
        <v>481</v>
      </c>
      <c r="D41" t="s">
        <v>486</v>
      </c>
      <c r="E41">
        <v>38.627292629999999</v>
      </c>
      <c r="F41">
        <v>20.828599929999999</v>
      </c>
      <c r="G41" s="3">
        <v>2</v>
      </c>
      <c r="H41" s="17">
        <v>0.85879371100000002</v>
      </c>
    </row>
    <row r="42" spans="1:8">
      <c r="A42" s="3">
        <v>183</v>
      </c>
      <c r="B42" t="s">
        <v>492</v>
      </c>
      <c r="C42" t="s">
        <v>493</v>
      </c>
      <c r="D42" t="s">
        <v>494</v>
      </c>
      <c r="E42">
        <v>40.967510220000001</v>
      </c>
      <c r="F42">
        <v>18.72467232</v>
      </c>
      <c r="G42" s="3">
        <v>2</v>
      </c>
      <c r="H42" s="17">
        <v>0.90595119300000004</v>
      </c>
    </row>
    <row r="43" spans="1:8">
      <c r="A43" s="3">
        <v>190</v>
      </c>
      <c r="B43" t="s">
        <v>98</v>
      </c>
      <c r="C43" t="s">
        <v>99</v>
      </c>
      <c r="D43" t="s">
        <v>100</v>
      </c>
      <c r="E43">
        <v>44.346790310000003</v>
      </c>
      <c r="F43">
        <v>5.5651955600000003</v>
      </c>
      <c r="G43" s="3">
        <v>2</v>
      </c>
      <c r="H43" s="17">
        <v>0.84292952799999998</v>
      </c>
    </row>
    <row r="44" spans="1:8">
      <c r="A44" s="3">
        <v>228</v>
      </c>
      <c r="B44" t="s">
        <v>498</v>
      </c>
      <c r="C44" t="s">
        <v>499</v>
      </c>
      <c r="D44" t="s">
        <v>500</v>
      </c>
      <c r="E44">
        <v>40.71650314</v>
      </c>
      <c r="F44">
        <v>16.301141739999998</v>
      </c>
      <c r="G44" s="3">
        <v>2</v>
      </c>
      <c r="H44" s="17">
        <v>0.85852952800000004</v>
      </c>
    </row>
    <row r="45" spans="1:8">
      <c r="A45" s="3">
        <v>229</v>
      </c>
      <c r="B45" t="s">
        <v>113</v>
      </c>
      <c r="C45" t="s">
        <v>114</v>
      </c>
      <c r="D45" t="s">
        <v>115</v>
      </c>
      <c r="E45">
        <v>26.864330290000002</v>
      </c>
      <c r="F45">
        <v>16.163963320000001</v>
      </c>
      <c r="G45" s="3">
        <v>2</v>
      </c>
      <c r="H45" s="17">
        <v>0.83053598500000003</v>
      </c>
    </row>
    <row r="46" spans="1:8">
      <c r="A46" s="3">
        <v>236</v>
      </c>
      <c r="B46" t="s">
        <v>528</v>
      </c>
      <c r="C46" t="s">
        <v>529</v>
      </c>
      <c r="D46" t="s">
        <v>530</v>
      </c>
      <c r="E46">
        <v>22.948179240000002</v>
      </c>
      <c r="F46">
        <v>-0.465498358</v>
      </c>
      <c r="G46" s="3">
        <v>2</v>
      </c>
      <c r="H46" s="17">
        <v>0.79031031500000004</v>
      </c>
    </row>
    <row r="47" spans="1:8">
      <c r="A47" s="3">
        <v>237</v>
      </c>
      <c r="B47" t="s">
        <v>117</v>
      </c>
      <c r="C47" t="s">
        <v>118</v>
      </c>
      <c r="D47" t="s">
        <v>119</v>
      </c>
      <c r="E47">
        <v>34.811279300000002</v>
      </c>
      <c r="F47">
        <v>23.428081509999998</v>
      </c>
      <c r="G47" s="3">
        <v>2</v>
      </c>
      <c r="H47" s="17">
        <v>0.90192836200000004</v>
      </c>
    </row>
    <row r="48" spans="1:8">
      <c r="A48" s="3">
        <v>256</v>
      </c>
      <c r="B48" t="s">
        <v>123</v>
      </c>
      <c r="C48" t="s">
        <v>124</v>
      </c>
      <c r="D48" t="s">
        <v>125</v>
      </c>
      <c r="E48">
        <v>36.690429690000002</v>
      </c>
      <c r="F48">
        <v>21.811792369999999</v>
      </c>
      <c r="G48" s="3">
        <v>2</v>
      </c>
      <c r="H48" s="17">
        <v>0.84575355299999999</v>
      </c>
    </row>
    <row r="49" spans="1:8">
      <c r="A49" s="3">
        <v>263</v>
      </c>
      <c r="B49" t="s">
        <v>1</v>
      </c>
      <c r="C49" t="s">
        <v>672</v>
      </c>
      <c r="D49" t="s">
        <v>51</v>
      </c>
      <c r="E49">
        <v>35.205257420000002</v>
      </c>
      <c r="F49">
        <v>-6.2310457230000003</v>
      </c>
      <c r="G49" s="3">
        <v>2</v>
      </c>
      <c r="H49" s="17">
        <v>0.78394195</v>
      </c>
    </row>
    <row r="50" spans="1:8">
      <c r="A50" s="3">
        <v>263</v>
      </c>
      <c r="B50" t="s">
        <v>1</v>
      </c>
      <c r="C50" t="s">
        <v>673</v>
      </c>
      <c r="D50" t="s">
        <v>51</v>
      </c>
      <c r="E50">
        <v>35.205257420000002</v>
      </c>
      <c r="F50">
        <v>-6.2310457230000003</v>
      </c>
      <c r="G50" s="3">
        <v>2</v>
      </c>
      <c r="H50" s="17">
        <v>0.78394195</v>
      </c>
    </row>
    <row r="51" spans="1:8">
      <c r="A51" s="3">
        <v>263</v>
      </c>
      <c r="B51" t="s">
        <v>1</v>
      </c>
      <c r="C51" t="s">
        <v>674</v>
      </c>
      <c r="D51" t="s">
        <v>51</v>
      </c>
      <c r="E51">
        <v>35.205257420000002</v>
      </c>
      <c r="F51">
        <v>-6.2310457230000003</v>
      </c>
      <c r="G51" s="3">
        <v>2</v>
      </c>
      <c r="H51" s="17">
        <v>0.78394195</v>
      </c>
    </row>
    <row r="52" spans="1:8">
      <c r="A52" s="3">
        <v>263</v>
      </c>
      <c r="B52" t="s">
        <v>1</v>
      </c>
      <c r="C52" t="s">
        <v>675</v>
      </c>
      <c r="D52" t="s">
        <v>51</v>
      </c>
      <c r="E52">
        <v>35.205257420000002</v>
      </c>
      <c r="F52">
        <v>-6.2310457230000003</v>
      </c>
      <c r="G52" s="3">
        <v>2</v>
      </c>
      <c r="H52" s="17">
        <v>0.78394195</v>
      </c>
    </row>
    <row r="53" spans="1:8">
      <c r="A53" s="3">
        <v>263</v>
      </c>
      <c r="B53" t="s">
        <v>1</v>
      </c>
      <c r="C53" t="s">
        <v>676</v>
      </c>
      <c r="D53" t="s">
        <v>51</v>
      </c>
      <c r="E53">
        <v>35.205257420000002</v>
      </c>
      <c r="F53">
        <v>-6.2310457230000003</v>
      </c>
      <c r="G53" s="3">
        <v>2</v>
      </c>
      <c r="H53" s="17">
        <v>0.78394195</v>
      </c>
    </row>
    <row r="54" spans="1:8">
      <c r="A54" s="3">
        <v>263</v>
      </c>
      <c r="B54" t="s">
        <v>1</v>
      </c>
      <c r="C54" t="s">
        <v>677</v>
      </c>
      <c r="D54" t="s">
        <v>51</v>
      </c>
      <c r="E54">
        <v>35.205257420000002</v>
      </c>
      <c r="F54">
        <v>-6.2310457230000003</v>
      </c>
      <c r="G54" s="3">
        <v>2</v>
      </c>
      <c r="H54" s="17">
        <v>0.78394195</v>
      </c>
    </row>
    <row r="55" spans="1:8">
      <c r="A55" s="3">
        <v>263</v>
      </c>
      <c r="B55" t="s">
        <v>1</v>
      </c>
      <c r="C55" t="s">
        <v>678</v>
      </c>
      <c r="D55" t="s">
        <v>51</v>
      </c>
      <c r="E55">
        <v>35.205257420000002</v>
      </c>
      <c r="F55">
        <v>-6.2310457230000003</v>
      </c>
      <c r="G55" s="3">
        <v>2</v>
      </c>
      <c r="H55" s="17">
        <v>0.78394195</v>
      </c>
    </row>
    <row r="56" spans="1:8">
      <c r="A56" s="3">
        <v>276</v>
      </c>
      <c r="B56" t="s">
        <v>2</v>
      </c>
      <c r="C56" t="s">
        <v>3</v>
      </c>
      <c r="D56" t="s">
        <v>52</v>
      </c>
      <c r="E56">
        <v>41.749652859999998</v>
      </c>
      <c r="F56">
        <v>-2.2133371830000002</v>
      </c>
      <c r="G56" s="3">
        <v>2</v>
      </c>
      <c r="H56" s="17">
        <v>0.82456795900000002</v>
      </c>
    </row>
    <row r="57" spans="1:8">
      <c r="A57" s="3">
        <v>289</v>
      </c>
      <c r="B57" t="s">
        <v>134</v>
      </c>
      <c r="C57" t="s">
        <v>135</v>
      </c>
      <c r="D57" t="s">
        <v>136</v>
      </c>
      <c r="E57">
        <v>32.575416560000001</v>
      </c>
      <c r="F57">
        <v>21.729267119999999</v>
      </c>
      <c r="G57" s="3">
        <v>2</v>
      </c>
      <c r="H57" s="17">
        <v>0.87363660499999996</v>
      </c>
    </row>
    <row r="58" spans="1:8">
      <c r="A58" s="3">
        <v>290</v>
      </c>
      <c r="B58" t="s">
        <v>138</v>
      </c>
      <c r="C58" t="s">
        <v>139</v>
      </c>
      <c r="D58" t="s">
        <v>140</v>
      </c>
      <c r="E58">
        <v>40.118679049999997</v>
      </c>
      <c r="F58">
        <v>4.6121888159999997</v>
      </c>
      <c r="G58" s="3">
        <v>2</v>
      </c>
      <c r="H58" s="17">
        <v>0.83884939199999997</v>
      </c>
    </row>
    <row r="59" spans="1:8">
      <c r="A59" s="3">
        <v>293</v>
      </c>
      <c r="B59" t="s">
        <v>142</v>
      </c>
      <c r="C59" t="s">
        <v>143</v>
      </c>
      <c r="D59" t="s">
        <v>144</v>
      </c>
      <c r="E59">
        <v>42.023406979999997</v>
      </c>
      <c r="F59">
        <v>1.404887438</v>
      </c>
      <c r="G59" s="3">
        <v>2</v>
      </c>
      <c r="H59" s="17">
        <v>0.83452952800000002</v>
      </c>
    </row>
    <row r="60" spans="1:8">
      <c r="A60" s="3">
        <v>300</v>
      </c>
      <c r="B60" t="s">
        <v>542</v>
      </c>
      <c r="C60" t="s">
        <v>543</v>
      </c>
      <c r="D60" t="s">
        <v>544</v>
      </c>
      <c r="E60">
        <v>32.557582859999997</v>
      </c>
      <c r="F60">
        <v>7.158851147</v>
      </c>
      <c r="G60" s="3">
        <v>2</v>
      </c>
      <c r="H60" s="17">
        <v>0.85972952800000002</v>
      </c>
    </row>
    <row r="61" spans="1:8">
      <c r="A61" s="3">
        <v>309</v>
      </c>
      <c r="B61" t="s">
        <v>146</v>
      </c>
      <c r="C61" t="s">
        <v>147</v>
      </c>
      <c r="D61" t="s">
        <v>148</v>
      </c>
      <c r="E61">
        <v>33.134120940000003</v>
      </c>
      <c r="F61">
        <v>9.9227647779999995</v>
      </c>
      <c r="G61" s="3">
        <v>2</v>
      </c>
      <c r="H61" s="17">
        <v>0.86012952799999998</v>
      </c>
    </row>
    <row r="62" spans="1:8">
      <c r="A62" s="3">
        <v>319</v>
      </c>
      <c r="B62" t="s">
        <v>548</v>
      </c>
      <c r="C62" t="s">
        <v>549</v>
      </c>
      <c r="D62" t="s">
        <v>550</v>
      </c>
      <c r="E62">
        <v>32.686256409999999</v>
      </c>
      <c r="F62">
        <v>-7.7366142269999996</v>
      </c>
      <c r="G62" s="3">
        <v>2</v>
      </c>
      <c r="H62" s="17">
        <v>0.83012952799999995</v>
      </c>
    </row>
    <row r="63" spans="1:8">
      <c r="A63" s="3">
        <v>322</v>
      </c>
      <c r="B63" t="s">
        <v>156</v>
      </c>
      <c r="C63" t="s">
        <v>157</v>
      </c>
      <c r="D63" t="s">
        <v>158</v>
      </c>
      <c r="E63">
        <v>29.956472399999999</v>
      </c>
      <c r="F63">
        <v>18.661386490000002</v>
      </c>
      <c r="G63" s="3">
        <v>2</v>
      </c>
      <c r="H63" s="17">
        <v>0.79438140499999998</v>
      </c>
    </row>
    <row r="64" spans="1:8">
      <c r="A64" s="3">
        <v>325</v>
      </c>
      <c r="B64" t="s">
        <v>165</v>
      </c>
      <c r="C64" t="s">
        <v>166</v>
      </c>
      <c r="D64" t="s">
        <v>167</v>
      </c>
      <c r="E64">
        <v>29.160913470000001</v>
      </c>
      <c r="F64">
        <v>15.242934229999999</v>
      </c>
      <c r="G64" s="3">
        <v>2</v>
      </c>
      <c r="H64" s="17">
        <v>0.87067797300000005</v>
      </c>
    </row>
    <row r="65" spans="1:8">
      <c r="A65" s="3">
        <v>332</v>
      </c>
      <c r="B65" t="s">
        <v>169</v>
      </c>
      <c r="C65" t="s">
        <v>170</v>
      </c>
      <c r="D65" t="s">
        <v>171</v>
      </c>
      <c r="E65">
        <v>24.821748729999999</v>
      </c>
      <c r="F65">
        <v>12.47663021</v>
      </c>
      <c r="G65" s="3">
        <v>2</v>
      </c>
      <c r="H65" s="17">
        <v>0.83160584199999998</v>
      </c>
    </row>
    <row r="66" spans="1:8">
      <c r="A66" s="3">
        <v>342</v>
      </c>
      <c r="B66" t="s">
        <v>173</v>
      </c>
      <c r="C66" t="s">
        <v>101</v>
      </c>
      <c r="D66" t="s">
        <v>174</v>
      </c>
      <c r="E66">
        <v>42.526828770000002</v>
      </c>
      <c r="F66">
        <v>4.1836223600000002</v>
      </c>
      <c r="G66" s="3">
        <v>2</v>
      </c>
      <c r="H66" s="17">
        <v>0.83932952800000005</v>
      </c>
    </row>
    <row r="67" spans="1:8">
      <c r="A67" s="3">
        <v>349</v>
      </c>
      <c r="B67" t="s">
        <v>175</v>
      </c>
      <c r="C67" t="s">
        <v>176</v>
      </c>
      <c r="D67" t="s">
        <v>177</v>
      </c>
      <c r="E67">
        <v>37.60395432</v>
      </c>
      <c r="F67">
        <v>19.348310470000001</v>
      </c>
      <c r="G67" s="3">
        <v>2</v>
      </c>
      <c r="H67" s="17">
        <v>0.81607212500000004</v>
      </c>
    </row>
    <row r="68" spans="1:8">
      <c r="A68" s="3">
        <v>351</v>
      </c>
      <c r="B68" t="s">
        <v>178</v>
      </c>
      <c r="C68" t="s">
        <v>179</v>
      </c>
      <c r="D68" t="s">
        <v>180</v>
      </c>
      <c r="E68">
        <v>30.4276886</v>
      </c>
      <c r="F68">
        <v>5.2525825499999996</v>
      </c>
      <c r="G68" s="3">
        <v>2</v>
      </c>
      <c r="H68" s="17">
        <v>0.82434194999999999</v>
      </c>
    </row>
    <row r="69" spans="1:8">
      <c r="A69" s="3">
        <v>370</v>
      </c>
      <c r="B69" t="s">
        <v>182</v>
      </c>
      <c r="C69" t="s">
        <v>183</v>
      </c>
      <c r="D69" t="s">
        <v>184</v>
      </c>
      <c r="E69">
        <v>28.447853089999999</v>
      </c>
      <c r="F69">
        <v>24.83987999</v>
      </c>
      <c r="G69" s="3">
        <v>2</v>
      </c>
      <c r="H69" s="17">
        <v>0.90038995300000002</v>
      </c>
    </row>
    <row r="70" spans="1:8">
      <c r="A70" s="3">
        <v>372</v>
      </c>
      <c r="B70" t="s">
        <v>186</v>
      </c>
      <c r="C70" t="s">
        <v>187</v>
      </c>
      <c r="D70" t="s">
        <v>188</v>
      </c>
      <c r="E70">
        <v>34.484317779999998</v>
      </c>
      <c r="F70">
        <v>21.409130099999999</v>
      </c>
      <c r="G70" s="3">
        <v>2</v>
      </c>
      <c r="H70" s="17">
        <v>0.85706334100000003</v>
      </c>
    </row>
    <row r="71" spans="1:8">
      <c r="A71" s="3">
        <v>386</v>
      </c>
      <c r="B71" t="s">
        <v>6</v>
      </c>
      <c r="C71" t="s">
        <v>7</v>
      </c>
      <c r="D71" t="s">
        <v>54</v>
      </c>
      <c r="E71">
        <v>28.745796200000001</v>
      </c>
      <c r="F71">
        <v>6.4843826289999997</v>
      </c>
      <c r="G71" s="3">
        <v>2</v>
      </c>
      <c r="H71" s="17">
        <v>0.81683994400000004</v>
      </c>
    </row>
    <row r="72" spans="1:8">
      <c r="A72" s="3">
        <v>398</v>
      </c>
      <c r="B72" t="s">
        <v>502</v>
      </c>
      <c r="C72" t="s">
        <v>348</v>
      </c>
      <c r="D72" t="s">
        <v>503</v>
      </c>
      <c r="E72">
        <v>44.452537540000002</v>
      </c>
      <c r="F72">
        <v>15.06311607</v>
      </c>
      <c r="G72" s="3">
        <v>2</v>
      </c>
      <c r="H72" s="17">
        <v>0.86572952800000003</v>
      </c>
    </row>
    <row r="73" spans="1:8">
      <c r="A73" s="3">
        <v>449</v>
      </c>
      <c r="B73" t="s">
        <v>577</v>
      </c>
      <c r="C73" t="s">
        <v>578</v>
      </c>
      <c r="D73" t="s">
        <v>579</v>
      </c>
      <c r="E73">
        <v>29.479619979999999</v>
      </c>
      <c r="F73">
        <v>9.2316951750000005</v>
      </c>
      <c r="G73" s="3">
        <v>2</v>
      </c>
      <c r="H73" s="17">
        <v>0.91187797299999995</v>
      </c>
    </row>
    <row r="74" spans="1:8">
      <c r="A74" s="3">
        <v>458</v>
      </c>
      <c r="B74" t="s">
        <v>505</v>
      </c>
      <c r="C74" t="s">
        <v>450</v>
      </c>
      <c r="D74" t="s">
        <v>506</v>
      </c>
      <c r="E74">
        <v>38.27015686</v>
      </c>
      <c r="F74">
        <v>13.08245945</v>
      </c>
      <c r="G74" s="3">
        <v>2</v>
      </c>
      <c r="H74" s="17">
        <v>0.84812952799999997</v>
      </c>
    </row>
    <row r="75" spans="1:8">
      <c r="A75" s="3">
        <v>461</v>
      </c>
      <c r="B75" t="s">
        <v>583</v>
      </c>
      <c r="C75" t="s">
        <v>584</v>
      </c>
      <c r="D75" t="s">
        <v>585</v>
      </c>
      <c r="E75">
        <v>25.625980380000001</v>
      </c>
      <c r="F75">
        <v>-4.943838596</v>
      </c>
      <c r="G75" s="3">
        <v>2</v>
      </c>
      <c r="H75" s="17">
        <v>0.76244939199999995</v>
      </c>
    </row>
    <row r="76" spans="1:8">
      <c r="A76" s="3">
        <v>465</v>
      </c>
      <c r="B76" t="s">
        <v>507</v>
      </c>
      <c r="C76" t="s">
        <v>504</v>
      </c>
      <c r="D76" t="s">
        <v>508</v>
      </c>
      <c r="E76">
        <v>43.797084810000001</v>
      </c>
      <c r="F76">
        <v>13.066244129999999</v>
      </c>
      <c r="G76" s="3">
        <v>2</v>
      </c>
      <c r="H76" s="17">
        <v>0.86572952800000003</v>
      </c>
    </row>
    <row r="77" spans="1:8">
      <c r="A77" s="3">
        <v>466</v>
      </c>
      <c r="B77" t="s">
        <v>589</v>
      </c>
      <c r="C77" t="s">
        <v>231</v>
      </c>
      <c r="D77" t="s">
        <v>590</v>
      </c>
      <c r="E77">
        <v>30.766147610000001</v>
      </c>
      <c r="F77">
        <v>24.670492169999999</v>
      </c>
      <c r="G77" s="3">
        <v>2</v>
      </c>
      <c r="H77" s="17">
        <v>0.89432836199999999</v>
      </c>
    </row>
    <row r="78" spans="1:8">
      <c r="A78" s="3">
        <v>473</v>
      </c>
      <c r="B78" t="s">
        <v>229</v>
      </c>
      <c r="C78" t="s">
        <v>137</v>
      </c>
      <c r="D78" t="s">
        <v>230</v>
      </c>
      <c r="E78">
        <v>30.923686979999999</v>
      </c>
      <c r="F78">
        <v>22.78193855</v>
      </c>
      <c r="G78" s="3">
        <v>2</v>
      </c>
      <c r="H78" s="17">
        <v>0.90192836200000004</v>
      </c>
    </row>
    <row r="79" spans="1:8">
      <c r="A79" s="3">
        <v>476</v>
      </c>
      <c r="B79" t="s">
        <v>593</v>
      </c>
      <c r="C79" t="s">
        <v>594</v>
      </c>
      <c r="D79" t="s">
        <v>595</v>
      </c>
      <c r="E79">
        <v>37.234725949999998</v>
      </c>
      <c r="F79">
        <v>10.93032646</v>
      </c>
      <c r="G79" s="3">
        <v>2</v>
      </c>
      <c r="H79" s="17">
        <v>0.856929528</v>
      </c>
    </row>
    <row r="80" spans="1:8">
      <c r="A80" s="3">
        <v>502</v>
      </c>
      <c r="B80" t="s">
        <v>546</v>
      </c>
      <c r="C80" t="s">
        <v>545</v>
      </c>
      <c r="D80" t="s">
        <v>547</v>
      </c>
      <c r="E80">
        <v>36.201519009999998</v>
      </c>
      <c r="F80">
        <v>6.7433519359999998</v>
      </c>
      <c r="G80" s="3">
        <v>2</v>
      </c>
      <c r="H80" s="17">
        <v>0.85732952799999995</v>
      </c>
    </row>
    <row r="81" spans="1:8">
      <c r="A81" s="3">
        <v>515</v>
      </c>
      <c r="B81" t="s">
        <v>245</v>
      </c>
      <c r="C81" t="s">
        <v>246</v>
      </c>
      <c r="D81" t="s">
        <v>247</v>
      </c>
      <c r="E81">
        <v>32.178695679999997</v>
      </c>
      <c r="F81">
        <v>5.0066108700000003</v>
      </c>
      <c r="G81" s="3">
        <v>2</v>
      </c>
      <c r="H81" s="17">
        <v>0.79540345400000001</v>
      </c>
    </row>
    <row r="82" spans="1:8">
      <c r="A82" s="3">
        <v>553</v>
      </c>
      <c r="B82" t="s">
        <v>509</v>
      </c>
      <c r="C82" t="s">
        <v>510</v>
      </c>
      <c r="D82" t="s">
        <v>511</v>
      </c>
      <c r="E82">
        <v>42.95326996</v>
      </c>
      <c r="F82">
        <v>7.7761378289999996</v>
      </c>
      <c r="G82" s="3">
        <v>2</v>
      </c>
      <c r="H82" s="17">
        <v>0.86772952800000003</v>
      </c>
    </row>
    <row r="83" spans="1:8">
      <c r="A83" s="3">
        <v>564</v>
      </c>
      <c r="B83" t="s">
        <v>269</v>
      </c>
      <c r="C83" t="s">
        <v>270</v>
      </c>
      <c r="D83" t="s">
        <v>271</v>
      </c>
      <c r="E83">
        <v>28.387210849999999</v>
      </c>
      <c r="F83">
        <v>-3.018675327</v>
      </c>
      <c r="G83" s="3">
        <v>2</v>
      </c>
      <c r="H83" s="17">
        <v>0.77929675600000003</v>
      </c>
    </row>
    <row r="84" spans="1:8">
      <c r="A84" s="3">
        <v>572</v>
      </c>
      <c r="B84" t="s">
        <v>607</v>
      </c>
      <c r="C84" t="s">
        <v>297</v>
      </c>
      <c r="D84" t="s">
        <v>608</v>
      </c>
      <c r="E84">
        <v>26.767480849999998</v>
      </c>
      <c r="F84">
        <v>1.7127758259999999</v>
      </c>
      <c r="G84" s="3">
        <v>2</v>
      </c>
      <c r="H84" s="17">
        <v>0.827356957</v>
      </c>
    </row>
    <row r="85" spans="1:8">
      <c r="A85" s="3">
        <v>582</v>
      </c>
      <c r="B85" t="s">
        <v>609</v>
      </c>
      <c r="C85" t="s">
        <v>1293</v>
      </c>
      <c r="D85" t="s">
        <v>610</v>
      </c>
      <c r="E85">
        <v>32.922630310000002</v>
      </c>
      <c r="F85">
        <v>5.7357977999999997E-2</v>
      </c>
      <c r="G85" s="3">
        <v>2</v>
      </c>
      <c r="H85" s="17">
        <v>0.82274195000000006</v>
      </c>
    </row>
    <row r="86" spans="1:8">
      <c r="A86" s="3">
        <v>582</v>
      </c>
      <c r="B86" t="s">
        <v>609</v>
      </c>
      <c r="C86" t="s">
        <v>1610</v>
      </c>
      <c r="D86" t="s">
        <v>610</v>
      </c>
      <c r="E86">
        <v>32.922630310000002</v>
      </c>
      <c r="F86">
        <v>5.7357977999999997E-2</v>
      </c>
      <c r="G86" s="3">
        <v>2</v>
      </c>
      <c r="H86" s="17">
        <v>0.82274195000000006</v>
      </c>
    </row>
    <row r="87" spans="1:8">
      <c r="A87" s="3">
        <v>582</v>
      </c>
      <c r="B87" t="s">
        <v>609</v>
      </c>
      <c r="C87" t="s">
        <v>1611</v>
      </c>
      <c r="D87" t="s">
        <v>610</v>
      </c>
      <c r="E87">
        <v>32.922630310000002</v>
      </c>
      <c r="F87">
        <v>5.7357977999999997E-2</v>
      </c>
      <c r="G87" s="3">
        <v>2</v>
      </c>
      <c r="H87" s="17">
        <v>0.82274195000000006</v>
      </c>
    </row>
    <row r="88" spans="1:8">
      <c r="A88" s="3">
        <v>583</v>
      </c>
      <c r="B88" t="s">
        <v>597</v>
      </c>
      <c r="C88" t="s">
        <v>598</v>
      </c>
      <c r="D88" t="s">
        <v>599</v>
      </c>
      <c r="E88">
        <v>33.83663559</v>
      </c>
      <c r="F88">
        <v>12.1396122</v>
      </c>
      <c r="G88" s="3">
        <v>2</v>
      </c>
      <c r="H88" s="17">
        <v>0.85252952800000004</v>
      </c>
    </row>
    <row r="89" spans="1:8">
      <c r="A89" s="3">
        <v>592</v>
      </c>
      <c r="B89" t="s">
        <v>587</v>
      </c>
      <c r="C89" t="s">
        <v>586</v>
      </c>
      <c r="D89" t="s">
        <v>588</v>
      </c>
      <c r="E89">
        <v>24.886005399999998</v>
      </c>
      <c r="F89">
        <v>-3.5239887240000001</v>
      </c>
      <c r="G89" s="3">
        <v>2</v>
      </c>
      <c r="H89" s="17">
        <v>0.76244939199999995</v>
      </c>
    </row>
    <row r="90" spans="1:8">
      <c r="A90" s="3">
        <v>606</v>
      </c>
      <c r="B90" t="s">
        <v>289</v>
      </c>
      <c r="C90" t="s">
        <v>290</v>
      </c>
      <c r="D90" t="s">
        <v>291</v>
      </c>
      <c r="E90">
        <v>32.915550230000001</v>
      </c>
      <c r="F90">
        <v>20.06950569</v>
      </c>
      <c r="G90" s="3">
        <v>2</v>
      </c>
      <c r="H90" s="17">
        <v>0.77376714499999999</v>
      </c>
    </row>
    <row r="91" spans="1:8">
      <c r="A91" s="3">
        <v>635</v>
      </c>
      <c r="B91" t="s">
        <v>630</v>
      </c>
      <c r="C91" t="s">
        <v>469</v>
      </c>
      <c r="D91" t="s">
        <v>631</v>
      </c>
      <c r="E91">
        <v>32.733348849999999</v>
      </c>
      <c r="F91">
        <v>-3.3789656159999999</v>
      </c>
      <c r="G91" s="3">
        <v>2</v>
      </c>
      <c r="H91" s="17">
        <v>0.82314195000000001</v>
      </c>
    </row>
    <row r="92" spans="1:8">
      <c r="A92" s="3">
        <v>638</v>
      </c>
      <c r="B92" t="s">
        <v>295</v>
      </c>
      <c r="C92" t="s">
        <v>296</v>
      </c>
      <c r="D92" t="s">
        <v>1283</v>
      </c>
      <c r="E92">
        <v>24.844264979999998</v>
      </c>
      <c r="F92">
        <v>2.8728251459999998</v>
      </c>
      <c r="G92" s="3">
        <v>2</v>
      </c>
      <c r="H92" s="17">
        <v>0.84360607300000001</v>
      </c>
    </row>
    <row r="93" spans="1:8">
      <c r="A93" s="3">
        <v>642</v>
      </c>
      <c r="B93" t="s">
        <v>591</v>
      </c>
      <c r="C93" t="s">
        <v>1294</v>
      </c>
      <c r="D93" t="s">
        <v>592</v>
      </c>
      <c r="E93">
        <v>33.031841280000002</v>
      </c>
      <c r="F93">
        <v>24.081979749999999</v>
      </c>
      <c r="G93" s="3">
        <v>2</v>
      </c>
      <c r="H93" s="17">
        <v>0.90032836199999999</v>
      </c>
    </row>
    <row r="94" spans="1:8">
      <c r="A94" s="3">
        <v>642</v>
      </c>
      <c r="B94" t="s">
        <v>591</v>
      </c>
      <c r="C94" t="s">
        <v>1612</v>
      </c>
      <c r="D94" t="s">
        <v>592</v>
      </c>
      <c r="E94">
        <v>33.031841280000002</v>
      </c>
      <c r="F94">
        <v>24.081979749999999</v>
      </c>
      <c r="G94" s="3">
        <v>2</v>
      </c>
      <c r="H94" s="17">
        <v>0.90032836199999999</v>
      </c>
    </row>
    <row r="95" spans="1:8">
      <c r="A95" s="3">
        <v>698</v>
      </c>
      <c r="B95" t="s">
        <v>306</v>
      </c>
      <c r="C95" t="s">
        <v>116</v>
      </c>
      <c r="D95" t="s">
        <v>307</v>
      </c>
      <c r="E95">
        <v>26.532997129999998</v>
      </c>
      <c r="F95">
        <v>14.071461680000001</v>
      </c>
      <c r="G95" s="3">
        <v>2</v>
      </c>
      <c r="H95" s="17">
        <v>0.87747797299999997</v>
      </c>
    </row>
    <row r="96" spans="1:8">
      <c r="A96" s="3">
        <v>702</v>
      </c>
      <c r="B96" t="s">
        <v>311</v>
      </c>
      <c r="C96" t="s">
        <v>172</v>
      </c>
      <c r="D96" t="s">
        <v>312</v>
      </c>
      <c r="E96">
        <v>24.623054499999999</v>
      </c>
      <c r="F96">
        <v>14.52905941</v>
      </c>
      <c r="G96" s="3">
        <v>2</v>
      </c>
      <c r="H96" s="17">
        <v>0.88547797299999997</v>
      </c>
    </row>
    <row r="97" spans="1:8">
      <c r="A97" s="3">
        <v>703</v>
      </c>
      <c r="B97" t="s">
        <v>313</v>
      </c>
      <c r="C97" t="s">
        <v>185</v>
      </c>
      <c r="D97" t="s">
        <v>314</v>
      </c>
      <c r="E97">
        <v>28.09067726</v>
      </c>
      <c r="F97">
        <v>22.77766609</v>
      </c>
      <c r="G97" s="3">
        <v>2</v>
      </c>
      <c r="H97" s="17">
        <v>0.89795119300000004</v>
      </c>
    </row>
    <row r="98" spans="1:8">
      <c r="A98" s="3">
        <v>714</v>
      </c>
      <c r="B98" t="s">
        <v>320</v>
      </c>
      <c r="C98" t="s">
        <v>321</v>
      </c>
      <c r="D98" t="s">
        <v>322</v>
      </c>
      <c r="E98">
        <v>24.313507080000001</v>
      </c>
      <c r="F98">
        <v>0.51667678399999994</v>
      </c>
      <c r="G98" s="3">
        <v>2</v>
      </c>
      <c r="H98" s="17">
        <v>0.833151062</v>
      </c>
    </row>
    <row r="99" spans="1:8">
      <c r="A99" s="3">
        <v>716</v>
      </c>
      <c r="B99" t="s">
        <v>324</v>
      </c>
      <c r="C99" t="s">
        <v>325</v>
      </c>
      <c r="D99" t="s">
        <v>326</v>
      </c>
      <c r="E99">
        <v>32.518131259999997</v>
      </c>
      <c r="F99">
        <v>14.81962204</v>
      </c>
      <c r="G99" s="3">
        <v>2</v>
      </c>
      <c r="H99" s="17">
        <v>0.85252952800000004</v>
      </c>
    </row>
    <row r="100" spans="1:8">
      <c r="A100" s="3">
        <v>722</v>
      </c>
      <c r="B100" t="s">
        <v>43</v>
      </c>
      <c r="C100" t="s">
        <v>679</v>
      </c>
      <c r="D100" t="s">
        <v>74</v>
      </c>
      <c r="E100">
        <v>36.753307339999999</v>
      </c>
      <c r="F100">
        <v>-4.0053839680000003</v>
      </c>
      <c r="G100" s="3">
        <v>2</v>
      </c>
      <c r="H100" s="17">
        <v>0.80434194999999997</v>
      </c>
    </row>
    <row r="101" spans="1:8">
      <c r="A101" s="3">
        <v>722</v>
      </c>
      <c r="B101" t="s">
        <v>43</v>
      </c>
      <c r="C101" t="s">
        <v>680</v>
      </c>
      <c r="D101" t="s">
        <v>74</v>
      </c>
      <c r="E101">
        <v>36.753307339999999</v>
      </c>
      <c r="F101">
        <v>-4.0053839680000003</v>
      </c>
      <c r="G101" s="3">
        <v>2</v>
      </c>
      <c r="H101" s="17">
        <v>0.80434194999999997</v>
      </c>
    </row>
    <row r="102" spans="1:8">
      <c r="A102" s="3">
        <v>724</v>
      </c>
      <c r="B102" t="s">
        <v>512</v>
      </c>
      <c r="C102" t="s">
        <v>513</v>
      </c>
      <c r="D102" t="s">
        <v>514</v>
      </c>
      <c r="E102">
        <v>39.536499020000001</v>
      </c>
      <c r="F102">
        <v>14.788911819999999</v>
      </c>
      <c r="G102" s="3">
        <v>2</v>
      </c>
      <c r="H102" s="17">
        <v>0.85852952800000004</v>
      </c>
    </row>
    <row r="103" spans="1:8">
      <c r="A103" s="3">
        <v>733</v>
      </c>
      <c r="B103" t="s">
        <v>515</v>
      </c>
      <c r="C103" t="s">
        <v>501</v>
      </c>
      <c r="D103" t="s">
        <v>516</v>
      </c>
      <c r="E103">
        <v>42.822029110000003</v>
      </c>
      <c r="F103">
        <v>16.674436570000001</v>
      </c>
      <c r="G103" s="3">
        <v>2</v>
      </c>
      <c r="H103" s="17">
        <v>0.85852952800000004</v>
      </c>
    </row>
    <row r="104" spans="1:8">
      <c r="A104" s="3">
        <v>745</v>
      </c>
      <c r="B104" t="s">
        <v>327</v>
      </c>
      <c r="C104" t="s">
        <v>85</v>
      </c>
      <c r="D104" t="s">
        <v>328</v>
      </c>
      <c r="E104">
        <v>31.875221249999999</v>
      </c>
      <c r="F104">
        <v>17.760900500000002</v>
      </c>
      <c r="G104" s="3">
        <v>2</v>
      </c>
      <c r="H104" s="17">
        <v>0.79311688199999997</v>
      </c>
    </row>
    <row r="105" spans="1:8">
      <c r="A105" s="3">
        <v>747</v>
      </c>
      <c r="B105" t="s">
        <v>487</v>
      </c>
      <c r="C105" t="s">
        <v>488</v>
      </c>
      <c r="D105" t="s">
        <v>489</v>
      </c>
      <c r="E105">
        <v>35.850906369999997</v>
      </c>
      <c r="F105">
        <v>19.928249359999999</v>
      </c>
      <c r="G105" s="3">
        <v>2</v>
      </c>
      <c r="H105" s="17">
        <v>0.85639371099999995</v>
      </c>
    </row>
    <row r="106" spans="1:8">
      <c r="A106" s="3">
        <v>752</v>
      </c>
      <c r="B106" t="s">
        <v>330</v>
      </c>
      <c r="C106" t="s">
        <v>272</v>
      </c>
      <c r="D106" t="s">
        <v>331</v>
      </c>
      <c r="E106">
        <v>29.768095020000001</v>
      </c>
      <c r="F106">
        <v>-1.291796446</v>
      </c>
      <c r="G106" s="3">
        <v>2</v>
      </c>
      <c r="H106" s="17">
        <v>0.82609675599999999</v>
      </c>
    </row>
    <row r="107" spans="1:8">
      <c r="A107" s="3">
        <v>756</v>
      </c>
      <c r="B107" t="s">
        <v>332</v>
      </c>
      <c r="C107" t="s">
        <v>159</v>
      </c>
      <c r="D107" t="s">
        <v>333</v>
      </c>
      <c r="E107">
        <v>30.4096756</v>
      </c>
      <c r="F107">
        <v>20.761589050000001</v>
      </c>
      <c r="G107" s="3">
        <v>2</v>
      </c>
      <c r="H107" s="17">
        <v>0.86001250399999996</v>
      </c>
    </row>
    <row r="108" spans="1:8">
      <c r="A108" s="3">
        <v>757</v>
      </c>
      <c r="B108" t="s">
        <v>334</v>
      </c>
      <c r="C108" t="s">
        <v>329</v>
      </c>
      <c r="D108" t="s">
        <v>335</v>
      </c>
      <c r="E108">
        <v>34.540767670000001</v>
      </c>
      <c r="F108">
        <v>18.030698780000002</v>
      </c>
      <c r="G108" s="3">
        <v>2</v>
      </c>
      <c r="H108" s="17">
        <v>0.83369675600000004</v>
      </c>
    </row>
    <row r="109" spans="1:8">
      <c r="A109" s="3">
        <v>771</v>
      </c>
      <c r="B109" t="s">
        <v>517</v>
      </c>
      <c r="C109" t="s">
        <v>518</v>
      </c>
      <c r="D109" t="s">
        <v>519</v>
      </c>
      <c r="E109">
        <v>43.714706419999999</v>
      </c>
      <c r="F109">
        <v>10.342550279999999</v>
      </c>
      <c r="G109" s="3">
        <v>2</v>
      </c>
      <c r="H109" s="17">
        <v>0.86252952800000005</v>
      </c>
    </row>
    <row r="110" spans="1:8">
      <c r="A110" s="3">
        <v>797</v>
      </c>
      <c r="B110" t="s">
        <v>340</v>
      </c>
      <c r="C110" t="s">
        <v>81</v>
      </c>
      <c r="D110" t="s">
        <v>341</v>
      </c>
      <c r="E110">
        <v>23.009210589999999</v>
      </c>
      <c r="F110">
        <v>20.980766299999999</v>
      </c>
      <c r="G110" s="3">
        <v>2</v>
      </c>
      <c r="H110" s="17">
        <v>0.86022630300000003</v>
      </c>
    </row>
    <row r="111" spans="1:8">
      <c r="A111" s="3">
        <v>806</v>
      </c>
      <c r="B111" t="s">
        <v>345</v>
      </c>
      <c r="C111" t="s">
        <v>346</v>
      </c>
      <c r="D111" t="s">
        <v>347</v>
      </c>
      <c r="E111">
        <v>42.410758970000003</v>
      </c>
      <c r="F111">
        <v>14.555200579999999</v>
      </c>
      <c r="G111" s="3">
        <v>2</v>
      </c>
      <c r="H111" s="17">
        <v>0.84090288300000005</v>
      </c>
    </row>
    <row r="112" spans="1:8">
      <c r="A112" s="3">
        <v>809</v>
      </c>
      <c r="B112" t="s">
        <v>521</v>
      </c>
      <c r="C112" t="s">
        <v>522</v>
      </c>
      <c r="D112" t="s">
        <v>523</v>
      </c>
      <c r="E112">
        <v>40.714500430000001</v>
      </c>
      <c r="F112">
        <v>12.847521779999999</v>
      </c>
      <c r="G112" s="3">
        <v>2</v>
      </c>
      <c r="H112" s="17">
        <v>0.86212952799999998</v>
      </c>
    </row>
    <row r="113" spans="1:8">
      <c r="A113" s="3">
        <v>834</v>
      </c>
      <c r="B113" t="s">
        <v>16</v>
      </c>
      <c r="C113" t="s">
        <v>17</v>
      </c>
      <c r="D113" t="s">
        <v>59</v>
      </c>
      <c r="E113">
        <v>27.71757698</v>
      </c>
      <c r="F113">
        <v>8.0786659999999996E-2</v>
      </c>
      <c r="G113" s="3">
        <v>2</v>
      </c>
      <c r="H113" s="17">
        <v>0.81875040399999999</v>
      </c>
    </row>
    <row r="114" spans="1:8">
      <c r="A114" s="3">
        <v>852</v>
      </c>
      <c r="B114" t="s">
        <v>611</v>
      </c>
      <c r="C114" t="s">
        <v>362</v>
      </c>
      <c r="D114" t="s">
        <v>612</v>
      </c>
      <c r="E114">
        <v>34.639614109999997</v>
      </c>
      <c r="F114">
        <v>5.6355967519999997</v>
      </c>
      <c r="G114" s="3">
        <v>2</v>
      </c>
      <c r="H114" s="17">
        <v>0.85412952799999997</v>
      </c>
    </row>
    <row r="115" spans="1:8">
      <c r="A115" s="3">
        <v>854</v>
      </c>
      <c r="B115" t="s">
        <v>614</v>
      </c>
      <c r="C115" t="s">
        <v>615</v>
      </c>
      <c r="D115" t="s">
        <v>616</v>
      </c>
      <c r="E115">
        <v>34.615413670000002</v>
      </c>
      <c r="F115">
        <v>2.1604692939999999</v>
      </c>
      <c r="G115" s="3">
        <v>2</v>
      </c>
      <c r="H115" s="17">
        <v>0.82674194999999995</v>
      </c>
    </row>
    <row r="116" spans="1:8">
      <c r="A116" s="3">
        <v>856</v>
      </c>
      <c r="B116" t="s">
        <v>617</v>
      </c>
      <c r="C116" t="s">
        <v>613</v>
      </c>
      <c r="D116" t="s">
        <v>618</v>
      </c>
      <c r="E116">
        <v>31.93977928</v>
      </c>
      <c r="F116">
        <v>3.2855608460000001</v>
      </c>
      <c r="G116" s="3">
        <v>2</v>
      </c>
      <c r="H116" s="17">
        <v>0.82554194999999997</v>
      </c>
    </row>
    <row r="117" spans="1:8">
      <c r="A117" s="3">
        <v>857</v>
      </c>
      <c r="B117" t="s">
        <v>552</v>
      </c>
      <c r="C117" t="s">
        <v>551</v>
      </c>
      <c r="D117" t="s">
        <v>553</v>
      </c>
      <c r="E117">
        <v>30.648040770000001</v>
      </c>
      <c r="F117">
        <v>-6.862154007</v>
      </c>
      <c r="G117" s="3">
        <v>2</v>
      </c>
      <c r="H117" s="17">
        <v>0.85372952800000002</v>
      </c>
    </row>
    <row r="118" spans="1:8">
      <c r="A118" s="3">
        <v>858</v>
      </c>
      <c r="B118" t="s">
        <v>619</v>
      </c>
      <c r="C118" t="s">
        <v>181</v>
      </c>
      <c r="D118" t="s">
        <v>620</v>
      </c>
      <c r="E118">
        <v>33.716320039999999</v>
      </c>
      <c r="F118">
        <v>3.679279089</v>
      </c>
      <c r="G118" s="3">
        <v>2</v>
      </c>
      <c r="H118" s="17">
        <v>0.82394195000000003</v>
      </c>
    </row>
    <row r="119" spans="1:8">
      <c r="A119" s="3">
        <v>859</v>
      </c>
      <c r="B119" t="s">
        <v>359</v>
      </c>
      <c r="C119" t="s">
        <v>360</v>
      </c>
      <c r="D119" t="s">
        <v>361</v>
      </c>
      <c r="E119">
        <v>34.316036220000001</v>
      </c>
      <c r="F119">
        <v>7.7756085400000003</v>
      </c>
      <c r="G119" s="3">
        <v>2</v>
      </c>
      <c r="H119" s="17">
        <v>0.86572952800000003</v>
      </c>
    </row>
    <row r="120" spans="1:8">
      <c r="A120" s="3">
        <v>1504</v>
      </c>
      <c r="B120" t="s">
        <v>363</v>
      </c>
      <c r="C120" t="s">
        <v>364</v>
      </c>
      <c r="D120" t="s">
        <v>365</v>
      </c>
      <c r="E120">
        <v>30.95191574</v>
      </c>
      <c r="F120">
        <v>1.1749399899999999</v>
      </c>
      <c r="G120" s="3">
        <v>2</v>
      </c>
      <c r="H120" s="17">
        <v>0.84251171599999997</v>
      </c>
    </row>
    <row r="121" spans="1:8">
      <c r="A121" s="3">
        <v>1555</v>
      </c>
      <c r="B121" t="s">
        <v>621</v>
      </c>
      <c r="C121" t="s">
        <v>622</v>
      </c>
      <c r="D121" t="s">
        <v>623</v>
      </c>
      <c r="E121">
        <v>32.834823610000001</v>
      </c>
      <c r="F121">
        <v>1.7190331219999999</v>
      </c>
      <c r="G121" s="3">
        <v>2</v>
      </c>
      <c r="H121" s="17">
        <v>0.82194195000000003</v>
      </c>
    </row>
    <row r="122" spans="1:8">
      <c r="A122" s="3">
        <v>1576</v>
      </c>
      <c r="B122" t="s">
        <v>368</v>
      </c>
      <c r="C122" t="s">
        <v>369</v>
      </c>
      <c r="D122" t="s">
        <v>370</v>
      </c>
      <c r="E122">
        <v>37.287807460000003</v>
      </c>
      <c r="F122">
        <v>-6.0526599880000003</v>
      </c>
      <c r="G122" s="3">
        <v>2</v>
      </c>
      <c r="H122" s="17">
        <v>0.79274195000000003</v>
      </c>
    </row>
    <row r="123" spans="1:8">
      <c r="A123" s="3">
        <v>1577</v>
      </c>
      <c r="B123" t="s">
        <v>371</v>
      </c>
      <c r="C123" t="s">
        <v>1295</v>
      </c>
      <c r="D123" t="s">
        <v>372</v>
      </c>
      <c r="E123">
        <v>39.137928010000003</v>
      </c>
      <c r="F123">
        <v>-5.5820379259999999</v>
      </c>
      <c r="G123" s="3">
        <v>2</v>
      </c>
      <c r="H123" s="17">
        <v>0.78834194999999996</v>
      </c>
    </row>
    <row r="124" spans="1:8">
      <c r="A124" s="3">
        <v>1577</v>
      </c>
      <c r="B124" t="s">
        <v>371</v>
      </c>
      <c r="C124" t="s">
        <v>1613</v>
      </c>
      <c r="D124" t="s">
        <v>372</v>
      </c>
      <c r="E124">
        <v>39.137928010000003</v>
      </c>
      <c r="F124">
        <v>-5.5820379259999999</v>
      </c>
      <c r="G124" s="3">
        <v>2</v>
      </c>
      <c r="H124" s="17">
        <v>0.78834194999999996</v>
      </c>
    </row>
    <row r="125" spans="1:8">
      <c r="A125" s="3">
        <v>1603</v>
      </c>
      <c r="B125" t="s">
        <v>524</v>
      </c>
      <c r="C125" t="s">
        <v>520</v>
      </c>
      <c r="D125" t="s">
        <v>525</v>
      </c>
      <c r="E125">
        <v>41.848171229999998</v>
      </c>
      <c r="F125">
        <v>11.33509445</v>
      </c>
      <c r="G125" s="3">
        <v>2</v>
      </c>
      <c r="H125" s="17">
        <v>0.87452952799999994</v>
      </c>
    </row>
    <row r="126" spans="1:8">
      <c r="A126" s="3">
        <v>1707</v>
      </c>
      <c r="B126" t="s">
        <v>386</v>
      </c>
      <c r="C126" t="s">
        <v>387</v>
      </c>
      <c r="D126" t="s">
        <v>388</v>
      </c>
      <c r="E126">
        <v>44.003341669999998</v>
      </c>
      <c r="F126">
        <v>2.4289383889999998</v>
      </c>
      <c r="G126" s="3">
        <v>2</v>
      </c>
      <c r="H126" s="17">
        <v>0.87612952799999999</v>
      </c>
    </row>
    <row r="127" spans="1:8">
      <c r="A127" s="3">
        <v>1792</v>
      </c>
      <c r="B127" t="s">
        <v>20</v>
      </c>
      <c r="C127" t="s">
        <v>21</v>
      </c>
      <c r="D127" t="s">
        <v>61</v>
      </c>
      <c r="E127">
        <v>36.167396549999999</v>
      </c>
      <c r="F127">
        <v>-2.03495574</v>
      </c>
      <c r="G127" s="3">
        <v>2</v>
      </c>
      <c r="H127" s="17">
        <v>0.82394195000000003</v>
      </c>
    </row>
    <row r="128" spans="1:8">
      <c r="A128" s="3">
        <v>1832</v>
      </c>
      <c r="B128" t="s">
        <v>634</v>
      </c>
      <c r="C128" t="s">
        <v>635</v>
      </c>
      <c r="D128" t="s">
        <v>636</v>
      </c>
      <c r="E128">
        <v>38.572151179999999</v>
      </c>
      <c r="F128">
        <v>6.7648410800000001</v>
      </c>
      <c r="G128" s="3">
        <v>2</v>
      </c>
      <c r="H128" s="17">
        <v>0.86892952800000001</v>
      </c>
    </row>
    <row r="129" spans="1:8">
      <c r="A129" s="3">
        <v>1838</v>
      </c>
      <c r="B129" t="s">
        <v>399</v>
      </c>
      <c r="C129" t="s">
        <v>400</v>
      </c>
      <c r="D129" t="s">
        <v>401</v>
      </c>
      <c r="E129">
        <v>29.83876038</v>
      </c>
      <c r="F129">
        <v>3.0354552269999999</v>
      </c>
      <c r="G129" s="3">
        <v>2</v>
      </c>
      <c r="H129" s="17">
        <v>0.848315559</v>
      </c>
    </row>
    <row r="130" spans="1:8">
      <c r="A130" s="3">
        <v>1852</v>
      </c>
      <c r="B130" t="s">
        <v>581</v>
      </c>
      <c r="C130" t="s">
        <v>580</v>
      </c>
      <c r="D130" t="s">
        <v>582</v>
      </c>
      <c r="E130">
        <v>27.584198000000001</v>
      </c>
      <c r="F130">
        <v>9.9711217879999996</v>
      </c>
      <c r="G130" s="3">
        <v>2</v>
      </c>
      <c r="H130" s="17">
        <v>0.91227797300000002</v>
      </c>
    </row>
    <row r="131" spans="1:8">
      <c r="A131" s="3">
        <v>1853</v>
      </c>
      <c r="B131" t="s">
        <v>403</v>
      </c>
      <c r="C131" t="s">
        <v>168</v>
      </c>
      <c r="D131" t="s">
        <v>404</v>
      </c>
      <c r="E131">
        <v>34.724391939999997</v>
      </c>
      <c r="F131">
        <v>15.591725350000001</v>
      </c>
      <c r="G131" s="3">
        <v>2</v>
      </c>
      <c r="H131" s="17">
        <v>0.86132952799999996</v>
      </c>
    </row>
    <row r="132" spans="1:8">
      <c r="A132" s="3">
        <v>1868</v>
      </c>
      <c r="B132" t="s">
        <v>496</v>
      </c>
      <c r="C132" t="s">
        <v>495</v>
      </c>
      <c r="D132" t="s">
        <v>497</v>
      </c>
      <c r="E132">
        <v>41.451274869999999</v>
      </c>
      <c r="F132">
        <v>20.789205549999998</v>
      </c>
      <c r="G132" s="3">
        <v>2</v>
      </c>
      <c r="H132" s="17">
        <v>0.90475119299999995</v>
      </c>
    </row>
    <row r="133" spans="1:8">
      <c r="A133" s="3">
        <v>1872</v>
      </c>
      <c r="B133" t="s">
        <v>601</v>
      </c>
      <c r="C133" t="s">
        <v>149</v>
      </c>
      <c r="D133" t="s">
        <v>602</v>
      </c>
      <c r="E133">
        <v>35.212852480000002</v>
      </c>
      <c r="F133">
        <v>10.68366623</v>
      </c>
      <c r="G133" s="3">
        <v>2</v>
      </c>
      <c r="H133" s="17">
        <v>0.85612952799999997</v>
      </c>
    </row>
    <row r="134" spans="1:8">
      <c r="A134" s="3">
        <v>1886</v>
      </c>
      <c r="B134" t="s">
        <v>640</v>
      </c>
      <c r="C134" t="s">
        <v>641</v>
      </c>
      <c r="D134" t="s">
        <v>642</v>
      </c>
      <c r="E134">
        <v>37.88445282</v>
      </c>
      <c r="F134">
        <v>3.8564023970000001</v>
      </c>
      <c r="G134" s="3">
        <v>2</v>
      </c>
      <c r="H134" s="17">
        <v>0.83874194999999996</v>
      </c>
    </row>
    <row r="135" spans="1:8">
      <c r="A135" s="3">
        <v>1911</v>
      </c>
      <c r="B135" t="s">
        <v>44</v>
      </c>
      <c r="C135" t="s">
        <v>45</v>
      </c>
      <c r="D135" t="s">
        <v>75</v>
      </c>
      <c r="E135">
        <v>38.388610839999998</v>
      </c>
      <c r="F135">
        <v>-1.5171154739999999</v>
      </c>
      <c r="G135" s="3">
        <v>2</v>
      </c>
      <c r="H135" s="17">
        <v>0.80074195000000004</v>
      </c>
    </row>
    <row r="136" spans="1:8">
      <c r="A136" s="3">
        <v>1915</v>
      </c>
      <c r="B136" t="s">
        <v>22</v>
      </c>
      <c r="C136" t="s">
        <v>23</v>
      </c>
      <c r="D136" t="s">
        <v>62</v>
      </c>
      <c r="E136">
        <v>40.059097289999997</v>
      </c>
      <c r="F136">
        <v>-2.9713520999999998</v>
      </c>
      <c r="G136" s="3">
        <v>2</v>
      </c>
      <c r="H136" s="17">
        <v>0.81594195000000003</v>
      </c>
    </row>
    <row r="137" spans="1:8">
      <c r="A137" s="3">
        <v>1959</v>
      </c>
      <c r="B137" t="s">
        <v>531</v>
      </c>
      <c r="C137" t="s">
        <v>323</v>
      </c>
      <c r="D137" t="s">
        <v>532</v>
      </c>
      <c r="E137">
        <v>24.55489159</v>
      </c>
      <c r="F137">
        <v>-1.6496214870000001</v>
      </c>
      <c r="G137" s="3">
        <v>2</v>
      </c>
      <c r="H137" s="17">
        <v>0.77351555900000002</v>
      </c>
    </row>
    <row r="138" spans="1:8">
      <c r="A138" s="3">
        <v>2195</v>
      </c>
      <c r="B138" t="s">
        <v>603</v>
      </c>
      <c r="C138" t="s">
        <v>596</v>
      </c>
      <c r="D138" t="s">
        <v>604</v>
      </c>
      <c r="E138">
        <v>37.705013280000003</v>
      </c>
      <c r="F138">
        <v>8.7722949979999996</v>
      </c>
      <c r="G138" s="3">
        <v>2</v>
      </c>
      <c r="H138" s="17">
        <v>0.85372952800000002</v>
      </c>
    </row>
    <row r="139" spans="1:8">
      <c r="A139" s="3">
        <v>2228</v>
      </c>
      <c r="B139" t="s">
        <v>425</v>
      </c>
      <c r="C139" t="s">
        <v>426</v>
      </c>
      <c r="D139" t="s">
        <v>427</v>
      </c>
      <c r="E139">
        <v>41.038768769999997</v>
      </c>
      <c r="F139">
        <v>6.9069695470000001</v>
      </c>
      <c r="G139" s="3">
        <v>2</v>
      </c>
      <c r="H139" s="17">
        <v>0.86412952799999998</v>
      </c>
    </row>
    <row r="140" spans="1:8">
      <c r="A140" s="3">
        <v>2248</v>
      </c>
      <c r="B140" t="s">
        <v>434</v>
      </c>
      <c r="C140" t="s">
        <v>435</v>
      </c>
      <c r="D140" t="s">
        <v>436</v>
      </c>
      <c r="E140">
        <v>34.343318940000003</v>
      </c>
      <c r="F140">
        <v>26.454170229999999</v>
      </c>
      <c r="G140" s="3">
        <v>2</v>
      </c>
      <c r="H140" s="17">
        <v>0.83523660499999997</v>
      </c>
    </row>
    <row r="141" spans="1:8">
      <c r="A141" s="3">
        <v>2266</v>
      </c>
      <c r="B141" t="s">
        <v>46</v>
      </c>
      <c r="C141" t="s">
        <v>47</v>
      </c>
      <c r="D141" t="s">
        <v>76</v>
      </c>
      <c r="E141">
        <v>33.60860443</v>
      </c>
      <c r="F141">
        <v>-5.0784111019999996</v>
      </c>
      <c r="G141" s="3">
        <v>2</v>
      </c>
      <c r="H141" s="17">
        <v>0.82314195000000001</v>
      </c>
    </row>
    <row r="142" spans="1:8">
      <c r="A142" s="3">
        <v>2277</v>
      </c>
      <c r="B142" t="s">
        <v>638</v>
      </c>
      <c r="C142" t="s">
        <v>637</v>
      </c>
      <c r="D142" t="s">
        <v>639</v>
      </c>
      <c r="E142">
        <v>39.254165649999997</v>
      </c>
      <c r="F142">
        <v>10.35848331</v>
      </c>
      <c r="G142" s="3">
        <v>2</v>
      </c>
      <c r="H142" s="17">
        <v>0.858929528</v>
      </c>
    </row>
    <row r="143" spans="1:8">
      <c r="A143" s="3">
        <v>2285</v>
      </c>
      <c r="B143" t="s">
        <v>443</v>
      </c>
      <c r="C143" t="s">
        <v>444</v>
      </c>
      <c r="D143" t="s">
        <v>445</v>
      </c>
      <c r="E143">
        <v>25.812923430000001</v>
      </c>
      <c r="F143">
        <v>23.268383029999999</v>
      </c>
      <c r="G143" s="3">
        <v>2</v>
      </c>
      <c r="H143" s="17">
        <v>0.86148759500000005</v>
      </c>
    </row>
    <row r="144" spans="1:8">
      <c r="A144" s="3">
        <v>2286</v>
      </c>
      <c r="B144" t="s">
        <v>605</v>
      </c>
      <c r="C144" t="s">
        <v>600</v>
      </c>
      <c r="D144" t="s">
        <v>606</v>
      </c>
      <c r="E144">
        <v>35.871070860000003</v>
      </c>
      <c r="F144">
        <v>9.1387748720000008</v>
      </c>
      <c r="G144" s="3">
        <v>2</v>
      </c>
      <c r="H144" s="17">
        <v>0.84852952800000003</v>
      </c>
    </row>
    <row r="145" spans="1:8">
      <c r="A145" s="3">
        <v>2288</v>
      </c>
      <c r="B145" t="s">
        <v>633</v>
      </c>
      <c r="C145" t="s">
        <v>632</v>
      </c>
      <c r="D145" t="s">
        <v>74</v>
      </c>
      <c r="E145">
        <v>38.059089659999998</v>
      </c>
      <c r="F145">
        <v>-3.2499947549999999</v>
      </c>
      <c r="G145" s="3">
        <v>2</v>
      </c>
      <c r="H145" s="17">
        <v>0.80434194999999997</v>
      </c>
    </row>
    <row r="146" spans="1:8">
      <c r="A146" s="3">
        <v>2292</v>
      </c>
      <c r="B146" t="s">
        <v>643</v>
      </c>
      <c r="C146" t="s">
        <v>141</v>
      </c>
      <c r="D146" t="s">
        <v>644</v>
      </c>
      <c r="E146">
        <v>36.290142060000001</v>
      </c>
      <c r="F146">
        <v>3.1900000569999998</v>
      </c>
      <c r="G146" s="3">
        <v>2</v>
      </c>
      <c r="H146" s="17">
        <v>0.83514195000000002</v>
      </c>
    </row>
    <row r="147" spans="1:8">
      <c r="A147" s="3">
        <v>2293</v>
      </c>
      <c r="B147" t="s">
        <v>448</v>
      </c>
      <c r="C147" t="s">
        <v>402</v>
      </c>
      <c r="D147" t="s">
        <v>449</v>
      </c>
      <c r="E147">
        <v>36.453430179999998</v>
      </c>
      <c r="F147">
        <v>13.82846451</v>
      </c>
      <c r="G147" s="3">
        <v>2</v>
      </c>
      <c r="H147" s="17">
        <v>0.83354194999999998</v>
      </c>
    </row>
    <row r="148" spans="1:8">
      <c r="A148" s="3">
        <v>2311</v>
      </c>
      <c r="B148" t="s">
        <v>526</v>
      </c>
      <c r="C148" t="s">
        <v>428</v>
      </c>
      <c r="D148" t="s">
        <v>527</v>
      </c>
      <c r="E148">
        <v>41.278514860000001</v>
      </c>
      <c r="F148">
        <v>8.9874954220000003</v>
      </c>
      <c r="G148" s="3">
        <v>2</v>
      </c>
      <c r="H148" s="17">
        <v>0.858929528</v>
      </c>
    </row>
    <row r="149" spans="1:8">
      <c r="A149" s="3">
        <v>2313</v>
      </c>
      <c r="B149" t="s">
        <v>459</v>
      </c>
      <c r="C149" t="s">
        <v>460</v>
      </c>
      <c r="D149" t="s">
        <v>461</v>
      </c>
      <c r="E149">
        <v>38.548580170000001</v>
      </c>
      <c r="F149">
        <v>0.67166572800000002</v>
      </c>
      <c r="G149" s="3">
        <v>2</v>
      </c>
      <c r="H149" s="17">
        <v>0.82331171599999997</v>
      </c>
    </row>
    <row r="150" spans="1:8">
      <c r="A150" s="3">
        <v>2318</v>
      </c>
      <c r="B150" t="s">
        <v>462</v>
      </c>
      <c r="C150" t="s">
        <v>437</v>
      </c>
      <c r="D150" t="s">
        <v>463</v>
      </c>
      <c r="E150">
        <v>36.356197360000003</v>
      </c>
      <c r="F150">
        <v>25.95142937</v>
      </c>
      <c r="G150" s="3">
        <v>2</v>
      </c>
      <c r="H150" s="17">
        <v>0.813593711</v>
      </c>
    </row>
    <row r="151" spans="1:8">
      <c r="A151" s="3">
        <v>2354</v>
      </c>
      <c r="B151" t="s">
        <v>466</v>
      </c>
      <c r="C151" t="s">
        <v>467</v>
      </c>
      <c r="D151" t="s">
        <v>468</v>
      </c>
      <c r="E151">
        <v>32.112304690000002</v>
      </c>
      <c r="F151">
        <v>26.267929079999998</v>
      </c>
      <c r="G151" s="3">
        <v>2</v>
      </c>
      <c r="H151" s="17">
        <v>0.89752836199999997</v>
      </c>
    </row>
    <row r="152" spans="1:8">
      <c r="A152" s="3">
        <v>2355</v>
      </c>
      <c r="B152" t="s">
        <v>24</v>
      </c>
      <c r="C152" t="s">
        <v>25</v>
      </c>
      <c r="D152" t="s">
        <v>63</v>
      </c>
      <c r="E152">
        <v>34.824893950000003</v>
      </c>
      <c r="F152">
        <v>-3.449208021</v>
      </c>
      <c r="G152" s="3">
        <v>2</v>
      </c>
      <c r="H152" s="17">
        <v>0.85194194999999995</v>
      </c>
    </row>
    <row r="153" spans="1:8">
      <c r="A153" s="3">
        <v>2395</v>
      </c>
      <c r="B153" t="s">
        <v>473</v>
      </c>
      <c r="C153" t="s">
        <v>474</v>
      </c>
      <c r="D153" t="s">
        <v>475</v>
      </c>
      <c r="E153">
        <v>35.981880189999998</v>
      </c>
      <c r="F153">
        <v>0.33248949100000003</v>
      </c>
      <c r="G153" s="3">
        <v>2</v>
      </c>
      <c r="H153" s="17">
        <v>0.76169319000000002</v>
      </c>
    </row>
    <row r="154" spans="1:8">
      <c r="A154" s="3">
        <v>2427</v>
      </c>
      <c r="B154" t="s">
        <v>645</v>
      </c>
      <c r="C154" t="s">
        <v>145</v>
      </c>
      <c r="D154" t="s">
        <v>646</v>
      </c>
      <c r="E154">
        <v>40.624439240000001</v>
      </c>
      <c r="F154">
        <v>-0.50272262099999998</v>
      </c>
      <c r="G154" s="3">
        <v>2</v>
      </c>
      <c r="H154" s="17">
        <v>0.80954194999999995</v>
      </c>
    </row>
    <row r="155" spans="1:8">
      <c r="A155" s="3">
        <v>2429</v>
      </c>
      <c r="B155" t="s">
        <v>48</v>
      </c>
      <c r="C155" t="s">
        <v>49</v>
      </c>
      <c r="D155" t="s">
        <v>77</v>
      </c>
      <c r="E155">
        <v>31.936569209999998</v>
      </c>
      <c r="F155">
        <v>-4.9133687019999996</v>
      </c>
      <c r="G155" s="3">
        <v>2</v>
      </c>
      <c r="H155" s="17">
        <v>0.81914195000000001</v>
      </c>
    </row>
    <row r="156" spans="1:8">
      <c r="A156" s="3">
        <v>2496</v>
      </c>
      <c r="B156" t="s">
        <v>479</v>
      </c>
      <c r="C156" t="s">
        <v>336</v>
      </c>
      <c r="D156" t="s">
        <v>480</v>
      </c>
      <c r="E156">
        <v>36.785686490000003</v>
      </c>
      <c r="F156">
        <v>17.696487430000001</v>
      </c>
      <c r="G156" s="3">
        <v>2</v>
      </c>
      <c r="H156" s="17">
        <v>0.85999371099999999</v>
      </c>
    </row>
    <row r="157" spans="1:8">
      <c r="A157" s="3">
        <v>2552</v>
      </c>
      <c r="B157" t="s">
        <v>490</v>
      </c>
      <c r="C157" t="s">
        <v>126</v>
      </c>
      <c r="D157" t="s">
        <v>491</v>
      </c>
      <c r="E157">
        <v>38.240730290000002</v>
      </c>
      <c r="F157">
        <v>22.833496090000001</v>
      </c>
      <c r="G157" s="3">
        <v>2</v>
      </c>
      <c r="H157" s="17">
        <v>0.86159371100000004</v>
      </c>
    </row>
    <row r="158" spans="1:8">
      <c r="A158" s="3">
        <v>151</v>
      </c>
      <c r="B158" t="s">
        <v>86</v>
      </c>
      <c r="C158" t="s">
        <v>87</v>
      </c>
      <c r="D158" t="s">
        <v>88</v>
      </c>
      <c r="E158">
        <v>10.548006060000001</v>
      </c>
      <c r="F158">
        <v>9.2542934419999998</v>
      </c>
      <c r="G158" s="3">
        <v>3</v>
      </c>
      <c r="H158" s="17">
        <v>0.79896182400000004</v>
      </c>
    </row>
    <row r="159" spans="1:8">
      <c r="A159" s="3">
        <v>169</v>
      </c>
      <c r="B159" t="s">
        <v>90</v>
      </c>
      <c r="C159" t="s">
        <v>91</v>
      </c>
      <c r="D159" t="s">
        <v>92</v>
      </c>
      <c r="E159">
        <v>16.396852490000001</v>
      </c>
      <c r="F159">
        <v>12.599039080000001</v>
      </c>
      <c r="G159" s="3">
        <v>3</v>
      </c>
      <c r="H159" s="17">
        <v>0.8</v>
      </c>
    </row>
    <row r="160" spans="1:8">
      <c r="A160" s="3">
        <v>178</v>
      </c>
      <c r="B160" t="s">
        <v>94</v>
      </c>
      <c r="C160" t="s">
        <v>95</v>
      </c>
      <c r="D160" t="s">
        <v>96</v>
      </c>
      <c r="E160">
        <v>12.84419346</v>
      </c>
      <c r="F160">
        <v>14.196067810000001</v>
      </c>
      <c r="G160" s="3">
        <v>3</v>
      </c>
      <c r="H160" s="17">
        <v>0.80995656199999999</v>
      </c>
    </row>
    <row r="161" spans="1:8">
      <c r="A161" s="3">
        <v>194</v>
      </c>
      <c r="B161" t="s">
        <v>102</v>
      </c>
      <c r="C161" t="s">
        <v>103</v>
      </c>
      <c r="D161" t="s">
        <v>104</v>
      </c>
      <c r="E161">
        <v>15.242361069999999</v>
      </c>
      <c r="F161">
        <v>14.19180012</v>
      </c>
      <c r="G161" s="3">
        <v>3</v>
      </c>
      <c r="H161" s="17">
        <v>0.76803133700000004</v>
      </c>
    </row>
    <row r="162" spans="1:8">
      <c r="A162" s="3">
        <v>378</v>
      </c>
      <c r="B162" t="s">
        <v>189</v>
      </c>
      <c r="C162" t="s">
        <v>190</v>
      </c>
      <c r="D162" t="s">
        <v>191</v>
      </c>
      <c r="E162">
        <v>18.592685700000001</v>
      </c>
      <c r="F162">
        <v>18.061977389999999</v>
      </c>
      <c r="G162" s="3">
        <v>3</v>
      </c>
      <c r="H162" s="17">
        <v>0.86098008299999995</v>
      </c>
    </row>
    <row r="163" spans="1:8">
      <c r="A163" s="3">
        <v>419</v>
      </c>
      <c r="B163" t="s">
        <v>206</v>
      </c>
      <c r="C163" t="s">
        <v>207</v>
      </c>
      <c r="D163" t="s">
        <v>208</v>
      </c>
      <c r="E163">
        <v>17.764135360000001</v>
      </c>
      <c r="F163">
        <v>8.9960432049999994</v>
      </c>
      <c r="G163" s="3">
        <v>3</v>
      </c>
      <c r="H163" s="17">
        <v>0.81256850199999997</v>
      </c>
    </row>
    <row r="164" spans="1:8">
      <c r="A164" s="3">
        <v>442</v>
      </c>
      <c r="B164" t="s">
        <v>217</v>
      </c>
      <c r="C164" t="s">
        <v>218</v>
      </c>
      <c r="D164" t="s">
        <v>219</v>
      </c>
      <c r="E164">
        <v>20.420640949999999</v>
      </c>
      <c r="F164">
        <v>11.72519207</v>
      </c>
      <c r="G164" s="3">
        <v>3</v>
      </c>
      <c r="H164" s="17">
        <v>0.77884919100000005</v>
      </c>
    </row>
    <row r="165" spans="1:8">
      <c r="A165" s="3">
        <v>488</v>
      </c>
      <c r="B165" t="s">
        <v>236</v>
      </c>
      <c r="C165" t="s">
        <v>237</v>
      </c>
      <c r="D165" t="s">
        <v>238</v>
      </c>
      <c r="E165">
        <v>17.637748720000001</v>
      </c>
      <c r="F165">
        <v>10.86217117</v>
      </c>
      <c r="G165" s="3">
        <v>3</v>
      </c>
      <c r="H165" s="17">
        <v>0.75282183599999997</v>
      </c>
    </row>
    <row r="166" spans="1:8">
      <c r="A166" s="3">
        <v>528</v>
      </c>
      <c r="B166" t="s">
        <v>252</v>
      </c>
      <c r="C166" t="s">
        <v>253</v>
      </c>
      <c r="D166" t="s">
        <v>254</v>
      </c>
      <c r="E166">
        <v>24.547338490000001</v>
      </c>
      <c r="F166">
        <v>7.4561066629999999</v>
      </c>
      <c r="G166" s="3">
        <v>3</v>
      </c>
      <c r="H166" s="17">
        <v>0.79007630900000003</v>
      </c>
    </row>
    <row r="167" spans="1:8">
      <c r="A167" s="3">
        <v>530</v>
      </c>
      <c r="B167" t="s">
        <v>256</v>
      </c>
      <c r="C167" t="s">
        <v>257</v>
      </c>
      <c r="D167" t="s">
        <v>258</v>
      </c>
      <c r="E167">
        <v>20.826124190000002</v>
      </c>
      <c r="F167">
        <v>7.4201350210000001</v>
      </c>
      <c r="G167" s="3">
        <v>3</v>
      </c>
      <c r="H167" s="17">
        <v>0.85324794599999998</v>
      </c>
    </row>
    <row r="168" spans="1:8">
      <c r="A168" s="3">
        <v>539</v>
      </c>
      <c r="B168" t="s">
        <v>260</v>
      </c>
      <c r="C168" t="s">
        <v>255</v>
      </c>
      <c r="D168" t="s">
        <v>261</v>
      </c>
      <c r="E168">
        <v>22.716300960000002</v>
      </c>
      <c r="F168">
        <v>6.3846778869999996</v>
      </c>
      <c r="G168" s="3">
        <v>3</v>
      </c>
      <c r="H168" s="17">
        <v>0.81526120800000001</v>
      </c>
    </row>
    <row r="169" spans="1:8">
      <c r="A169" s="3">
        <v>548</v>
      </c>
      <c r="B169" t="s">
        <v>266</v>
      </c>
      <c r="C169" t="s">
        <v>267</v>
      </c>
      <c r="D169" t="s">
        <v>268</v>
      </c>
      <c r="E169">
        <v>10.820553779999999</v>
      </c>
      <c r="F169">
        <v>14.0161438</v>
      </c>
      <c r="G169" s="3">
        <v>3</v>
      </c>
      <c r="H169" s="17">
        <v>0.81233294899999997</v>
      </c>
    </row>
    <row r="170" spans="1:8">
      <c r="A170" s="3">
        <v>567</v>
      </c>
      <c r="B170" t="s">
        <v>273</v>
      </c>
      <c r="C170" t="s">
        <v>274</v>
      </c>
      <c r="D170" t="s">
        <v>275</v>
      </c>
      <c r="E170">
        <v>15.268560409999999</v>
      </c>
      <c r="F170">
        <v>16.971956250000002</v>
      </c>
      <c r="G170" s="3">
        <v>3</v>
      </c>
      <c r="H170" s="17">
        <v>0.75069609100000001</v>
      </c>
    </row>
    <row r="171" spans="1:8">
      <c r="A171" s="3">
        <v>610</v>
      </c>
      <c r="B171" t="s">
        <v>292</v>
      </c>
      <c r="C171" t="s">
        <v>293</v>
      </c>
      <c r="D171" t="s">
        <v>1608</v>
      </c>
      <c r="E171">
        <v>14.60958958</v>
      </c>
      <c r="F171">
        <v>6.6029596330000002</v>
      </c>
      <c r="G171" s="3">
        <v>3</v>
      </c>
      <c r="H171" s="17">
        <v>0.76299350099999996</v>
      </c>
    </row>
    <row r="172" spans="1:8">
      <c r="A172" s="3">
        <v>652</v>
      </c>
      <c r="B172" t="s">
        <v>298</v>
      </c>
      <c r="C172" t="s">
        <v>299</v>
      </c>
      <c r="D172" t="s">
        <v>300</v>
      </c>
      <c r="E172">
        <v>18.572898859999999</v>
      </c>
      <c r="F172">
        <v>15.999325750000001</v>
      </c>
      <c r="G172" s="3">
        <v>3</v>
      </c>
      <c r="H172" s="17">
        <v>0.82349832700000003</v>
      </c>
    </row>
    <row r="173" spans="1:8">
      <c r="A173" s="3">
        <v>671</v>
      </c>
      <c r="B173" t="s">
        <v>304</v>
      </c>
      <c r="C173" t="s">
        <v>259</v>
      </c>
      <c r="D173" t="s">
        <v>305</v>
      </c>
      <c r="E173">
        <v>22.63661385</v>
      </c>
      <c r="F173">
        <v>8.5982351300000008</v>
      </c>
      <c r="G173" s="3">
        <v>3</v>
      </c>
      <c r="H173" s="17">
        <v>0.87164794599999995</v>
      </c>
    </row>
    <row r="174" spans="1:8">
      <c r="A174" s="3">
        <v>706</v>
      </c>
      <c r="B174" t="s">
        <v>315</v>
      </c>
      <c r="C174" t="s">
        <v>93</v>
      </c>
      <c r="D174" t="s">
        <v>316</v>
      </c>
      <c r="E174">
        <v>17.792509079999999</v>
      </c>
      <c r="F174">
        <v>13.621120449999999</v>
      </c>
      <c r="G174" s="3">
        <v>3</v>
      </c>
      <c r="H174" s="17">
        <v>0.79852501300000001</v>
      </c>
    </row>
    <row r="175" spans="1:8">
      <c r="A175" s="3">
        <v>761</v>
      </c>
      <c r="B175" t="s">
        <v>337</v>
      </c>
      <c r="C175" t="s">
        <v>338</v>
      </c>
      <c r="D175" t="s">
        <v>339</v>
      </c>
      <c r="E175">
        <v>19.898679730000001</v>
      </c>
      <c r="F175">
        <v>8.9339742659999999</v>
      </c>
      <c r="G175" s="3">
        <v>3</v>
      </c>
      <c r="H175" s="17">
        <v>0.76616182399999999</v>
      </c>
    </row>
    <row r="176" spans="1:8">
      <c r="A176" s="3">
        <v>1554</v>
      </c>
      <c r="B176" t="s">
        <v>366</v>
      </c>
      <c r="C176" t="s">
        <v>209</v>
      </c>
      <c r="D176" t="s">
        <v>367</v>
      </c>
      <c r="E176">
        <v>18.920595169999999</v>
      </c>
      <c r="F176">
        <v>6.7643599510000003</v>
      </c>
      <c r="G176" s="3">
        <v>3</v>
      </c>
      <c r="H176" s="17">
        <v>0.789075788</v>
      </c>
    </row>
    <row r="177" spans="1:8">
      <c r="A177" s="3">
        <v>1607</v>
      </c>
      <c r="B177" t="s">
        <v>379</v>
      </c>
      <c r="C177" t="s">
        <v>89</v>
      </c>
      <c r="D177" t="s">
        <v>380</v>
      </c>
      <c r="E177">
        <v>12.18362808</v>
      </c>
      <c r="F177">
        <v>10.1076479</v>
      </c>
      <c r="G177" s="3">
        <v>3</v>
      </c>
      <c r="H177" s="17">
        <v>0.79376182399999995</v>
      </c>
    </row>
    <row r="178" spans="1:8">
      <c r="A178" s="3">
        <v>2200</v>
      </c>
      <c r="B178" t="s">
        <v>420</v>
      </c>
      <c r="C178" t="s">
        <v>421</v>
      </c>
      <c r="D178" t="s">
        <v>422</v>
      </c>
      <c r="E178">
        <v>21.05562973</v>
      </c>
      <c r="F178">
        <v>14.24156857</v>
      </c>
      <c r="G178" s="3">
        <v>3</v>
      </c>
      <c r="H178" s="17">
        <v>0.77078485500000005</v>
      </c>
    </row>
    <row r="179" spans="1:8">
      <c r="A179" s="3">
        <v>2259</v>
      </c>
      <c r="B179" t="s">
        <v>438</v>
      </c>
      <c r="C179" t="s">
        <v>294</v>
      </c>
      <c r="D179" t="s">
        <v>439</v>
      </c>
      <c r="E179">
        <v>16.12084389</v>
      </c>
      <c r="F179">
        <v>7.6498594280000001</v>
      </c>
      <c r="G179" s="3">
        <v>3</v>
      </c>
      <c r="H179" s="17">
        <v>0.76417217900000001</v>
      </c>
    </row>
    <row r="180" spans="1:8">
      <c r="A180" s="3">
        <v>2352</v>
      </c>
      <c r="B180" t="s">
        <v>464</v>
      </c>
      <c r="C180" t="s">
        <v>97</v>
      </c>
      <c r="D180" t="s">
        <v>465</v>
      </c>
      <c r="E180">
        <v>13.70130253</v>
      </c>
      <c r="F180">
        <v>15.615248680000001</v>
      </c>
      <c r="G180" s="3">
        <v>3</v>
      </c>
      <c r="H180" s="17">
        <v>0.86816850899999998</v>
      </c>
    </row>
    <row r="181" spans="1:8">
      <c r="A181" s="3">
        <v>2377</v>
      </c>
      <c r="B181" t="s">
        <v>470</v>
      </c>
      <c r="C181" t="s">
        <v>471</v>
      </c>
      <c r="D181" t="s">
        <v>472</v>
      </c>
      <c r="E181">
        <v>13.059600830000001</v>
      </c>
      <c r="F181">
        <v>12.21901226</v>
      </c>
      <c r="G181" s="3">
        <v>3</v>
      </c>
      <c r="H181" s="17">
        <v>0.80736182400000001</v>
      </c>
    </row>
    <row r="182" spans="1:8">
      <c r="A182" s="3">
        <v>180</v>
      </c>
      <c r="B182" t="s">
        <v>482</v>
      </c>
      <c r="C182" t="s">
        <v>483</v>
      </c>
      <c r="D182" t="s">
        <v>484</v>
      </c>
      <c r="E182">
        <v>19.822549819999999</v>
      </c>
      <c r="F182">
        <v>-1.725763202</v>
      </c>
      <c r="G182" s="3">
        <v>4</v>
      </c>
      <c r="H182" s="17">
        <v>0.78474195000000002</v>
      </c>
    </row>
    <row r="183" spans="1:8">
      <c r="A183" s="3">
        <v>546</v>
      </c>
      <c r="B183" t="s">
        <v>262</v>
      </c>
      <c r="C183" t="s">
        <v>263</v>
      </c>
      <c r="D183" t="s">
        <v>264</v>
      </c>
      <c r="E183">
        <v>17.12084389</v>
      </c>
      <c r="F183">
        <v>-2.1772072320000002</v>
      </c>
      <c r="G183" s="3">
        <v>4</v>
      </c>
      <c r="H183" s="17">
        <v>0.75036143</v>
      </c>
    </row>
    <row r="184" spans="1:8">
      <c r="A184" s="3">
        <v>700</v>
      </c>
      <c r="B184" t="s">
        <v>308</v>
      </c>
      <c r="C184" t="s">
        <v>309</v>
      </c>
      <c r="D184" t="s">
        <v>310</v>
      </c>
      <c r="E184">
        <v>18.7904129</v>
      </c>
      <c r="F184">
        <v>-3.9217505460000002</v>
      </c>
      <c r="G184" s="3">
        <v>4</v>
      </c>
      <c r="H184" s="17">
        <v>0.78234194999999995</v>
      </c>
    </row>
    <row r="185" spans="1:8">
      <c r="A185" s="3">
        <v>827</v>
      </c>
      <c r="B185" t="s">
        <v>354</v>
      </c>
      <c r="C185" t="s">
        <v>265</v>
      </c>
      <c r="D185" t="s">
        <v>355</v>
      </c>
      <c r="E185">
        <v>17.352334979999998</v>
      </c>
      <c r="F185">
        <v>-0.34820237799999998</v>
      </c>
      <c r="G185" s="3">
        <v>4</v>
      </c>
      <c r="H185" s="17">
        <v>0.75784502899999995</v>
      </c>
    </row>
    <row r="186" spans="1:8">
      <c r="A186" s="3">
        <v>840</v>
      </c>
      <c r="B186" t="s">
        <v>357</v>
      </c>
      <c r="C186" t="s">
        <v>356</v>
      </c>
      <c r="D186" t="s">
        <v>358</v>
      </c>
      <c r="E186">
        <v>18.50303078</v>
      </c>
      <c r="F186">
        <v>0.93482995000000002</v>
      </c>
      <c r="G186" s="3">
        <v>4</v>
      </c>
      <c r="H186" s="17">
        <v>0.75344502899999999</v>
      </c>
    </row>
    <row r="187" spans="1:8">
      <c r="A187" s="3">
        <v>198</v>
      </c>
      <c r="B187" t="s">
        <v>105</v>
      </c>
      <c r="C187" t="s">
        <v>106</v>
      </c>
      <c r="D187" t="s">
        <v>107</v>
      </c>
      <c r="E187">
        <v>6.4528212549999999</v>
      </c>
      <c r="F187">
        <v>-1.5548810959999999</v>
      </c>
      <c r="G187" s="3">
        <v>5</v>
      </c>
      <c r="H187" s="17">
        <v>0.79768224399999998</v>
      </c>
    </row>
    <row r="188" spans="1:8">
      <c r="A188" s="3">
        <v>240</v>
      </c>
      <c r="B188" t="s">
        <v>533</v>
      </c>
      <c r="C188" t="s">
        <v>1296</v>
      </c>
      <c r="D188" t="s">
        <v>534</v>
      </c>
      <c r="E188">
        <v>14.68582726</v>
      </c>
      <c r="F188">
        <v>-19.436098099999999</v>
      </c>
      <c r="G188" s="3">
        <v>5</v>
      </c>
      <c r="H188" s="17">
        <v>0.76714194999999996</v>
      </c>
    </row>
    <row r="189" spans="1:8">
      <c r="A189" s="3">
        <v>240</v>
      </c>
      <c r="B189" t="s">
        <v>533</v>
      </c>
      <c r="C189" t="s">
        <v>1614</v>
      </c>
      <c r="D189" t="s">
        <v>534</v>
      </c>
      <c r="E189">
        <v>14.68582726</v>
      </c>
      <c r="F189">
        <v>-19.436098099999999</v>
      </c>
      <c r="G189" s="3">
        <v>5</v>
      </c>
      <c r="H189" s="17">
        <v>0.76714194999999996</v>
      </c>
    </row>
    <row r="190" spans="1:8">
      <c r="A190" s="3">
        <v>241</v>
      </c>
      <c r="B190" t="s">
        <v>120</v>
      </c>
      <c r="C190" t="s">
        <v>121</v>
      </c>
      <c r="D190" t="s">
        <v>122</v>
      </c>
      <c r="E190">
        <v>7.8765072820000004</v>
      </c>
      <c r="F190">
        <v>-6.9543604849999996</v>
      </c>
      <c r="G190" s="3">
        <v>5</v>
      </c>
      <c r="H190" s="17">
        <v>0.89288224400000005</v>
      </c>
    </row>
    <row r="191" spans="1:8">
      <c r="A191" s="3">
        <v>261</v>
      </c>
      <c r="B191" t="s">
        <v>131</v>
      </c>
      <c r="C191" t="s">
        <v>132</v>
      </c>
      <c r="D191" t="s">
        <v>1284</v>
      </c>
      <c r="E191">
        <v>11.558851239999999</v>
      </c>
      <c r="F191">
        <v>-13.00360107</v>
      </c>
      <c r="G191" s="3">
        <v>5</v>
      </c>
      <c r="H191" s="17">
        <v>0.80212952800000004</v>
      </c>
    </row>
    <row r="192" spans="1:8">
      <c r="A192" s="3">
        <v>265</v>
      </c>
      <c r="B192" t="s">
        <v>535</v>
      </c>
      <c r="C192" t="s">
        <v>1297</v>
      </c>
      <c r="D192" t="s">
        <v>536</v>
      </c>
      <c r="E192">
        <v>13.66411495</v>
      </c>
      <c r="F192">
        <v>-18.116769789999999</v>
      </c>
      <c r="G192" s="3">
        <v>5</v>
      </c>
      <c r="H192" s="17">
        <v>0.76714194999999996</v>
      </c>
    </row>
    <row r="193" spans="1:8">
      <c r="A193" s="3">
        <v>265</v>
      </c>
      <c r="B193" t="s">
        <v>535</v>
      </c>
      <c r="C193" t="s">
        <v>1615</v>
      </c>
      <c r="D193" t="s">
        <v>536</v>
      </c>
      <c r="E193">
        <v>13.66411495</v>
      </c>
      <c r="F193">
        <v>-18.116769789999999</v>
      </c>
      <c r="G193" s="3">
        <v>5</v>
      </c>
      <c r="H193" s="17">
        <v>0.76714194999999996</v>
      </c>
    </row>
    <row r="194" spans="1:8">
      <c r="A194" s="3">
        <v>265</v>
      </c>
      <c r="B194" t="s">
        <v>535</v>
      </c>
      <c r="C194" t="s">
        <v>1616</v>
      </c>
      <c r="D194" t="s">
        <v>536</v>
      </c>
      <c r="E194">
        <v>13.66411495</v>
      </c>
      <c r="F194">
        <v>-18.116769789999999</v>
      </c>
      <c r="G194" s="3">
        <v>5</v>
      </c>
      <c r="H194" s="17">
        <v>0.76714194999999996</v>
      </c>
    </row>
    <row r="195" spans="1:8">
      <c r="A195" s="3">
        <v>265</v>
      </c>
      <c r="B195" t="s">
        <v>535</v>
      </c>
      <c r="C195" t="s">
        <v>1617</v>
      </c>
      <c r="D195" t="s">
        <v>536</v>
      </c>
      <c r="E195">
        <v>13.66411495</v>
      </c>
      <c r="F195">
        <v>-18.116769789999999</v>
      </c>
      <c r="G195" s="3">
        <v>5</v>
      </c>
      <c r="H195" s="17">
        <v>0.76714194999999996</v>
      </c>
    </row>
    <row r="196" spans="1:8">
      <c r="A196" s="3">
        <v>265</v>
      </c>
      <c r="B196" t="s">
        <v>535</v>
      </c>
      <c r="C196" t="s">
        <v>1618</v>
      </c>
      <c r="D196" t="s">
        <v>536</v>
      </c>
      <c r="E196">
        <v>13.66411495</v>
      </c>
      <c r="F196">
        <v>-18.116769789999999</v>
      </c>
      <c r="G196" s="3">
        <v>5</v>
      </c>
      <c r="H196" s="17">
        <v>0.76714194999999996</v>
      </c>
    </row>
    <row r="197" spans="1:8">
      <c r="A197" s="3">
        <v>265</v>
      </c>
      <c r="B197" t="s">
        <v>535</v>
      </c>
      <c r="C197" t="s">
        <v>1619</v>
      </c>
      <c r="D197" t="s">
        <v>536</v>
      </c>
      <c r="E197">
        <v>13.66411495</v>
      </c>
      <c r="F197">
        <v>-18.116769789999999</v>
      </c>
      <c r="G197" s="3">
        <v>5</v>
      </c>
      <c r="H197" s="17">
        <v>0.76714194999999996</v>
      </c>
    </row>
    <row r="198" spans="1:8">
      <c r="A198" s="3">
        <v>265</v>
      </c>
      <c r="B198" t="s">
        <v>535</v>
      </c>
      <c r="C198" t="s">
        <v>1620</v>
      </c>
      <c r="D198" t="s">
        <v>536</v>
      </c>
      <c r="E198">
        <v>13.66411495</v>
      </c>
      <c r="F198">
        <v>-18.116769789999999</v>
      </c>
      <c r="G198" s="3">
        <v>5</v>
      </c>
      <c r="H198" s="17">
        <v>0.76714194999999996</v>
      </c>
    </row>
    <row r="199" spans="1:8">
      <c r="A199" s="3">
        <v>265</v>
      </c>
      <c r="B199" t="s">
        <v>535</v>
      </c>
      <c r="C199" t="s">
        <v>1621</v>
      </c>
      <c r="D199" t="s">
        <v>536</v>
      </c>
      <c r="E199">
        <v>13.66411495</v>
      </c>
      <c r="F199">
        <v>-18.116769789999999</v>
      </c>
      <c r="G199" s="3">
        <v>5</v>
      </c>
      <c r="H199" s="17">
        <v>0.76714194999999996</v>
      </c>
    </row>
    <row r="200" spans="1:8">
      <c r="A200" s="3">
        <v>265</v>
      </c>
      <c r="B200" t="s">
        <v>535</v>
      </c>
      <c r="C200" t="s">
        <v>1622</v>
      </c>
      <c r="D200" t="s">
        <v>536</v>
      </c>
      <c r="E200">
        <v>13.66411495</v>
      </c>
      <c r="F200">
        <v>-18.116769789999999</v>
      </c>
      <c r="G200" s="3">
        <v>5</v>
      </c>
      <c r="H200" s="17">
        <v>0.76714194999999996</v>
      </c>
    </row>
    <row r="201" spans="1:8">
      <c r="A201" s="3">
        <v>265</v>
      </c>
      <c r="B201" t="s">
        <v>535</v>
      </c>
      <c r="C201" t="s">
        <v>1623</v>
      </c>
      <c r="D201" t="s">
        <v>536</v>
      </c>
      <c r="E201">
        <v>13.66411495</v>
      </c>
      <c r="F201">
        <v>-18.116769789999999</v>
      </c>
      <c r="G201" s="3">
        <v>5</v>
      </c>
      <c r="H201" s="17">
        <v>0.76714194999999996</v>
      </c>
    </row>
    <row r="202" spans="1:8">
      <c r="A202" s="3">
        <v>265</v>
      </c>
      <c r="B202" t="s">
        <v>535</v>
      </c>
      <c r="C202" t="s">
        <v>1624</v>
      </c>
      <c r="D202" t="s">
        <v>536</v>
      </c>
      <c r="E202">
        <v>13.66411495</v>
      </c>
      <c r="F202">
        <v>-18.116769789999999</v>
      </c>
      <c r="G202" s="3">
        <v>5</v>
      </c>
      <c r="H202" s="17">
        <v>0.76714194999999996</v>
      </c>
    </row>
    <row r="203" spans="1:8">
      <c r="A203" s="3">
        <v>265</v>
      </c>
      <c r="B203" t="s">
        <v>535</v>
      </c>
      <c r="C203" t="s">
        <v>1625</v>
      </c>
      <c r="D203" t="s">
        <v>536</v>
      </c>
      <c r="E203">
        <v>13.66411495</v>
      </c>
      <c r="F203">
        <v>-18.116769789999999</v>
      </c>
      <c r="G203" s="3">
        <v>5</v>
      </c>
      <c r="H203" s="17">
        <v>0.76714194999999996</v>
      </c>
    </row>
    <row r="204" spans="1:8">
      <c r="A204" s="3">
        <v>265</v>
      </c>
      <c r="B204" t="s">
        <v>535</v>
      </c>
      <c r="C204" t="s">
        <v>1626</v>
      </c>
      <c r="D204" t="s">
        <v>536</v>
      </c>
      <c r="E204">
        <v>13.66411495</v>
      </c>
      <c r="F204">
        <v>-18.116769789999999</v>
      </c>
      <c r="G204" s="3">
        <v>5</v>
      </c>
      <c r="H204" s="17">
        <v>0.76714194999999996</v>
      </c>
    </row>
    <row r="205" spans="1:8">
      <c r="A205" s="3">
        <v>265</v>
      </c>
      <c r="B205" t="s">
        <v>535</v>
      </c>
      <c r="C205" t="s">
        <v>1627</v>
      </c>
      <c r="D205" t="s">
        <v>536</v>
      </c>
      <c r="E205">
        <v>13.66411495</v>
      </c>
      <c r="F205">
        <v>-18.116769789999999</v>
      </c>
      <c r="G205" s="3">
        <v>5</v>
      </c>
      <c r="H205" s="17">
        <v>0.76714194999999996</v>
      </c>
    </row>
    <row r="206" spans="1:8">
      <c r="A206" s="3">
        <v>265</v>
      </c>
      <c r="B206" t="s">
        <v>535</v>
      </c>
      <c r="C206" t="s">
        <v>1628</v>
      </c>
      <c r="D206" t="s">
        <v>536</v>
      </c>
      <c r="E206">
        <v>13.66411495</v>
      </c>
      <c r="F206">
        <v>-18.116769789999999</v>
      </c>
      <c r="G206" s="3">
        <v>5</v>
      </c>
      <c r="H206" s="17">
        <v>0.76714194999999996</v>
      </c>
    </row>
    <row r="207" spans="1:8">
      <c r="A207" s="3">
        <v>265</v>
      </c>
      <c r="B207" t="s">
        <v>535</v>
      </c>
      <c r="C207" t="s">
        <v>1629</v>
      </c>
      <c r="D207" t="s">
        <v>536</v>
      </c>
      <c r="E207">
        <v>13.66411495</v>
      </c>
      <c r="F207">
        <v>-18.116769789999999</v>
      </c>
      <c r="G207" s="3">
        <v>5</v>
      </c>
      <c r="H207" s="17">
        <v>0.76714194999999996</v>
      </c>
    </row>
    <row r="208" spans="1:8">
      <c r="A208" s="3">
        <v>310</v>
      </c>
      <c r="B208" t="s">
        <v>150</v>
      </c>
      <c r="C208" t="s">
        <v>151</v>
      </c>
      <c r="D208" t="s">
        <v>152</v>
      </c>
      <c r="E208">
        <v>14.68526745</v>
      </c>
      <c r="F208">
        <v>-13.1788559</v>
      </c>
      <c r="G208" s="3">
        <v>5</v>
      </c>
      <c r="H208" s="17">
        <v>0.76314194999999996</v>
      </c>
    </row>
    <row r="209" spans="1:8">
      <c r="A209" s="3">
        <v>323</v>
      </c>
      <c r="B209" t="s">
        <v>160</v>
      </c>
      <c r="C209" t="s">
        <v>1298</v>
      </c>
      <c r="D209" t="s">
        <v>161</v>
      </c>
      <c r="E209">
        <v>6.8391895290000004</v>
      </c>
      <c r="F209">
        <v>-5.2859401699999999</v>
      </c>
      <c r="G209" s="3">
        <v>5</v>
      </c>
      <c r="H209" s="17">
        <v>0.87608224400000001</v>
      </c>
    </row>
    <row r="210" spans="1:8">
      <c r="A210" s="3">
        <v>323</v>
      </c>
      <c r="B210" t="s">
        <v>160</v>
      </c>
      <c r="C210" t="s">
        <v>1630</v>
      </c>
      <c r="D210" t="s">
        <v>161</v>
      </c>
      <c r="E210">
        <v>6.8391895290000004</v>
      </c>
      <c r="F210">
        <v>-5.2859401699999999</v>
      </c>
      <c r="G210" s="3">
        <v>5</v>
      </c>
      <c r="H210" s="17">
        <v>0.87608224400000001</v>
      </c>
    </row>
    <row r="211" spans="1:8">
      <c r="A211" s="3">
        <v>324</v>
      </c>
      <c r="B211" t="s">
        <v>162</v>
      </c>
      <c r="C211" t="s">
        <v>163</v>
      </c>
      <c r="D211" t="s">
        <v>164</v>
      </c>
      <c r="E211">
        <v>3.1540246010000001</v>
      </c>
      <c r="F211">
        <v>-8.1452236179999993</v>
      </c>
      <c r="G211" s="3">
        <v>5</v>
      </c>
      <c r="H211" s="17">
        <v>0.85067797300000003</v>
      </c>
    </row>
    <row r="212" spans="1:8">
      <c r="A212" s="3">
        <v>390</v>
      </c>
      <c r="B212" t="s">
        <v>192</v>
      </c>
      <c r="C212" t="s">
        <v>193</v>
      </c>
      <c r="D212" t="s">
        <v>194</v>
      </c>
      <c r="E212">
        <v>13.130044939999999</v>
      </c>
      <c r="F212">
        <v>-20.32536507</v>
      </c>
      <c r="G212" s="3">
        <v>5</v>
      </c>
      <c r="H212" s="17">
        <v>0.78326415199999999</v>
      </c>
    </row>
    <row r="213" spans="1:8">
      <c r="A213" s="3">
        <v>392</v>
      </c>
      <c r="B213" t="s">
        <v>196</v>
      </c>
      <c r="C213" t="s">
        <v>197</v>
      </c>
      <c r="D213" t="s">
        <v>198</v>
      </c>
      <c r="E213">
        <v>16.0457058</v>
      </c>
      <c r="F213">
        <v>-9.6307983400000001</v>
      </c>
      <c r="G213" s="3">
        <v>5</v>
      </c>
      <c r="H213" s="17">
        <v>0.76484939200000002</v>
      </c>
    </row>
    <row r="214" spans="1:8">
      <c r="A214" s="3">
        <v>393</v>
      </c>
      <c r="B214" t="s">
        <v>554</v>
      </c>
      <c r="C214" t="s">
        <v>1299</v>
      </c>
      <c r="D214" t="s">
        <v>555</v>
      </c>
      <c r="E214">
        <v>-0.228974447</v>
      </c>
      <c r="F214">
        <v>-13.59427166</v>
      </c>
      <c r="G214" s="3">
        <v>5</v>
      </c>
      <c r="H214" s="17">
        <v>0.758129528</v>
      </c>
    </row>
    <row r="215" spans="1:8">
      <c r="A215" s="3">
        <v>393</v>
      </c>
      <c r="B215" t="s">
        <v>554</v>
      </c>
      <c r="C215" t="s">
        <v>1631</v>
      </c>
      <c r="D215" t="s">
        <v>555</v>
      </c>
      <c r="E215">
        <v>-0.228974447</v>
      </c>
      <c r="F215">
        <v>-13.59427166</v>
      </c>
      <c r="G215" s="3">
        <v>5</v>
      </c>
      <c r="H215" s="17">
        <v>0.758129528</v>
      </c>
    </row>
    <row r="216" spans="1:8">
      <c r="A216" s="3">
        <v>399</v>
      </c>
      <c r="B216" t="s">
        <v>200</v>
      </c>
      <c r="C216" t="s">
        <v>1300</v>
      </c>
      <c r="D216" t="s">
        <v>201</v>
      </c>
      <c r="E216">
        <v>4.3833346369999999</v>
      </c>
      <c r="F216">
        <v>-5.5591621399999998</v>
      </c>
      <c r="G216" s="3">
        <v>5</v>
      </c>
      <c r="H216" s="17">
        <v>0.79067797299999998</v>
      </c>
    </row>
    <row r="217" spans="1:8">
      <c r="A217" s="3">
        <v>399</v>
      </c>
      <c r="B217" t="s">
        <v>200</v>
      </c>
      <c r="C217" t="s">
        <v>1632</v>
      </c>
      <c r="D217" t="s">
        <v>201</v>
      </c>
      <c r="E217">
        <v>4.3833346369999999</v>
      </c>
      <c r="F217">
        <v>-5.5591621399999998</v>
      </c>
      <c r="G217" s="3">
        <v>5</v>
      </c>
      <c r="H217" s="17">
        <v>0.79067797299999998</v>
      </c>
    </row>
    <row r="218" spans="1:8">
      <c r="A218" s="3">
        <v>407</v>
      </c>
      <c r="B218" t="s">
        <v>202</v>
      </c>
      <c r="C218" t="s">
        <v>203</v>
      </c>
      <c r="D218" t="s">
        <v>204</v>
      </c>
      <c r="E218">
        <v>20.78024864</v>
      </c>
      <c r="F218">
        <v>-7.4412617680000004</v>
      </c>
      <c r="G218" s="3">
        <v>5</v>
      </c>
      <c r="H218" s="17">
        <v>0.86200584199999997</v>
      </c>
    </row>
    <row r="219" spans="1:8">
      <c r="A219" s="3">
        <v>429</v>
      </c>
      <c r="B219" t="s">
        <v>210</v>
      </c>
      <c r="C219" t="s">
        <v>211</v>
      </c>
      <c r="D219" t="s">
        <v>212</v>
      </c>
      <c r="E219">
        <v>8.4804191590000002</v>
      </c>
      <c r="F219">
        <v>-4.4258403780000002</v>
      </c>
      <c r="G219" s="3">
        <v>5</v>
      </c>
      <c r="H219" s="17">
        <v>0.76848224399999998</v>
      </c>
    </row>
    <row r="220" spans="1:8">
      <c r="A220" s="3">
        <v>439</v>
      </c>
      <c r="B220" t="s">
        <v>213</v>
      </c>
      <c r="C220" t="s">
        <v>214</v>
      </c>
      <c r="D220" t="s">
        <v>215</v>
      </c>
      <c r="E220">
        <v>14.119782450000001</v>
      </c>
      <c r="F220">
        <v>-8.8562784190000006</v>
      </c>
      <c r="G220" s="3">
        <v>5</v>
      </c>
      <c r="H220" s="17">
        <v>0.808529528</v>
      </c>
    </row>
    <row r="221" spans="1:8">
      <c r="A221" s="3">
        <v>455</v>
      </c>
      <c r="B221" t="s">
        <v>226</v>
      </c>
      <c r="C221" t="s">
        <v>227</v>
      </c>
      <c r="D221" t="s">
        <v>228</v>
      </c>
      <c r="E221">
        <v>0.17069525999999999</v>
      </c>
      <c r="F221">
        <v>-15.268504139999999</v>
      </c>
      <c r="G221" s="3">
        <v>5</v>
      </c>
      <c r="H221" s="17">
        <v>0.75650288300000001</v>
      </c>
    </row>
    <row r="222" spans="1:8">
      <c r="A222" s="3">
        <v>459</v>
      </c>
      <c r="B222" t="s">
        <v>556</v>
      </c>
      <c r="C222" t="s">
        <v>557</v>
      </c>
      <c r="D222" t="s">
        <v>558</v>
      </c>
      <c r="E222">
        <v>1.747296333</v>
      </c>
      <c r="F222">
        <v>-14.445506099999999</v>
      </c>
      <c r="G222" s="3">
        <v>5</v>
      </c>
      <c r="H222" s="17">
        <v>0.75732952799999997</v>
      </c>
    </row>
    <row r="223" spans="1:8">
      <c r="A223" s="3">
        <v>484</v>
      </c>
      <c r="B223" t="s">
        <v>232</v>
      </c>
      <c r="C223" t="s">
        <v>195</v>
      </c>
      <c r="D223" t="s">
        <v>233</v>
      </c>
      <c r="E223">
        <v>11.13487911</v>
      </c>
      <c r="F223">
        <v>-20.396387099999998</v>
      </c>
      <c r="G223" s="3">
        <v>5</v>
      </c>
      <c r="H223" s="17">
        <v>0.78489675599999997</v>
      </c>
    </row>
    <row r="224" spans="1:8">
      <c r="A224" s="3">
        <v>486</v>
      </c>
      <c r="B224" t="s">
        <v>234</v>
      </c>
      <c r="C224" t="s">
        <v>133</v>
      </c>
      <c r="D224" t="s">
        <v>235</v>
      </c>
      <c r="E224">
        <v>13.14263725</v>
      </c>
      <c r="F224">
        <v>-11.97588062</v>
      </c>
      <c r="G224" s="3">
        <v>5</v>
      </c>
      <c r="H224" s="17">
        <v>0.80372952799999997</v>
      </c>
    </row>
    <row r="225" spans="1:8">
      <c r="A225" s="3">
        <v>495</v>
      </c>
      <c r="B225" t="s">
        <v>537</v>
      </c>
      <c r="C225" t="s">
        <v>1301</v>
      </c>
      <c r="D225" t="s">
        <v>538</v>
      </c>
      <c r="E225">
        <v>12.770767210000001</v>
      </c>
      <c r="F225">
        <v>-16.68470001</v>
      </c>
      <c r="G225" s="3">
        <v>5</v>
      </c>
      <c r="H225" s="17">
        <v>0.77874195000000002</v>
      </c>
    </row>
    <row r="226" spans="1:8">
      <c r="A226" s="3">
        <v>495</v>
      </c>
      <c r="B226" t="s">
        <v>537</v>
      </c>
      <c r="C226" t="s">
        <v>1633</v>
      </c>
      <c r="D226" t="s">
        <v>538</v>
      </c>
      <c r="E226">
        <v>12.770767210000001</v>
      </c>
      <c r="F226">
        <v>-16.68470001</v>
      </c>
      <c r="G226" s="3">
        <v>5</v>
      </c>
      <c r="H226" s="17">
        <v>0.77874195000000002</v>
      </c>
    </row>
    <row r="227" spans="1:8">
      <c r="A227" s="3">
        <v>495</v>
      </c>
      <c r="B227" t="s">
        <v>537</v>
      </c>
      <c r="C227" t="s">
        <v>1634</v>
      </c>
      <c r="D227" t="s">
        <v>538</v>
      </c>
      <c r="E227">
        <v>12.770767210000001</v>
      </c>
      <c r="F227">
        <v>-16.68470001</v>
      </c>
      <c r="G227" s="3">
        <v>5</v>
      </c>
      <c r="H227" s="17">
        <v>0.77874195000000002</v>
      </c>
    </row>
    <row r="228" spans="1:8">
      <c r="A228" s="3">
        <v>511</v>
      </c>
      <c r="B228" t="s">
        <v>239</v>
      </c>
      <c r="C228" t="s">
        <v>240</v>
      </c>
      <c r="D228" t="s">
        <v>241</v>
      </c>
      <c r="E228">
        <v>1.2122991089999999</v>
      </c>
      <c r="F228">
        <v>-12.60428143</v>
      </c>
      <c r="G228" s="3">
        <v>5</v>
      </c>
      <c r="H228" s="17">
        <v>0.78972952799999996</v>
      </c>
    </row>
    <row r="229" spans="1:8">
      <c r="A229" s="3">
        <v>514</v>
      </c>
      <c r="B229" t="s">
        <v>242</v>
      </c>
      <c r="C229" t="s">
        <v>243</v>
      </c>
      <c r="D229" t="s">
        <v>244</v>
      </c>
      <c r="E229">
        <v>-0.57199990700000003</v>
      </c>
      <c r="F229">
        <v>-11.79590893</v>
      </c>
      <c r="G229" s="3">
        <v>5</v>
      </c>
      <c r="H229" s="17">
        <v>0.77412952800000001</v>
      </c>
    </row>
    <row r="230" spans="1:8">
      <c r="A230" s="3">
        <v>568</v>
      </c>
      <c r="B230" t="s">
        <v>276</v>
      </c>
      <c r="C230" t="s">
        <v>108</v>
      </c>
      <c r="D230" t="s">
        <v>277</v>
      </c>
      <c r="E230">
        <v>4.9453911780000004</v>
      </c>
      <c r="F230">
        <v>-2.966803074</v>
      </c>
      <c r="G230" s="3">
        <v>5</v>
      </c>
      <c r="H230" s="17">
        <v>0.79427797300000003</v>
      </c>
    </row>
    <row r="231" spans="1:8">
      <c r="A231" s="3">
        <v>584</v>
      </c>
      <c r="B231" t="s">
        <v>281</v>
      </c>
      <c r="C231" t="s">
        <v>282</v>
      </c>
      <c r="D231" t="s">
        <v>283</v>
      </c>
      <c r="E231">
        <v>5.6316432949999999</v>
      </c>
      <c r="F231">
        <v>-13.410555840000001</v>
      </c>
      <c r="G231" s="3">
        <v>5</v>
      </c>
      <c r="H231" s="17">
        <v>0.76452952799999996</v>
      </c>
    </row>
    <row r="232" spans="1:8">
      <c r="A232" s="3">
        <v>587</v>
      </c>
      <c r="B232" t="s">
        <v>539</v>
      </c>
      <c r="C232" t="s">
        <v>540</v>
      </c>
      <c r="D232" t="s">
        <v>541</v>
      </c>
      <c r="E232">
        <v>12.168459889999999</v>
      </c>
      <c r="F232">
        <v>-18.586666109999999</v>
      </c>
      <c r="G232" s="3">
        <v>5</v>
      </c>
      <c r="H232" s="17">
        <v>0.75994194999999998</v>
      </c>
    </row>
    <row r="233" spans="1:8">
      <c r="A233" s="3">
        <v>594</v>
      </c>
      <c r="B233" t="s">
        <v>624</v>
      </c>
      <c r="C233" t="s">
        <v>625</v>
      </c>
      <c r="D233" t="s">
        <v>626</v>
      </c>
      <c r="E233">
        <v>1.673202157</v>
      </c>
      <c r="F233">
        <v>-10.90707207</v>
      </c>
      <c r="G233" s="3">
        <v>5</v>
      </c>
      <c r="H233" s="17">
        <v>0.764129528</v>
      </c>
    </row>
    <row r="234" spans="1:8">
      <c r="A234" s="3">
        <v>596</v>
      </c>
      <c r="B234" t="s">
        <v>285</v>
      </c>
      <c r="C234" t="s">
        <v>286</v>
      </c>
      <c r="D234" t="s">
        <v>287</v>
      </c>
      <c r="E234">
        <v>5.5819330220000003</v>
      </c>
      <c r="F234">
        <v>-10.646347049999999</v>
      </c>
      <c r="G234" s="3">
        <v>5</v>
      </c>
      <c r="H234" s="17">
        <v>0.75012952799999999</v>
      </c>
    </row>
    <row r="235" spans="1:8">
      <c r="A235" s="3">
        <v>658</v>
      </c>
      <c r="B235" t="s">
        <v>301</v>
      </c>
      <c r="C235" t="s">
        <v>205</v>
      </c>
      <c r="D235" t="s">
        <v>302</v>
      </c>
      <c r="E235">
        <v>19.61116028</v>
      </c>
      <c r="F235">
        <v>-11.477816580000001</v>
      </c>
      <c r="G235" s="3">
        <v>5</v>
      </c>
      <c r="H235" s="17">
        <v>0.75394194999999997</v>
      </c>
    </row>
    <row r="236" spans="1:8">
      <c r="A236" s="3">
        <v>709</v>
      </c>
      <c r="B236" t="s">
        <v>317</v>
      </c>
      <c r="C236" t="s">
        <v>318</v>
      </c>
      <c r="D236" t="s">
        <v>319</v>
      </c>
      <c r="E236">
        <v>3.0766923429999999</v>
      </c>
      <c r="F236">
        <v>-4.4197025300000004</v>
      </c>
      <c r="G236" s="3">
        <v>5</v>
      </c>
      <c r="H236" s="17">
        <v>0.76067797299999995</v>
      </c>
    </row>
    <row r="237" spans="1:8">
      <c r="A237" s="3">
        <v>1587</v>
      </c>
      <c r="B237" t="s">
        <v>373</v>
      </c>
      <c r="C237" t="s">
        <v>374</v>
      </c>
      <c r="D237" t="s">
        <v>375</v>
      </c>
      <c r="E237">
        <v>21.718553539999998</v>
      </c>
      <c r="F237">
        <v>-10.07004929</v>
      </c>
      <c r="G237" s="3">
        <v>5</v>
      </c>
      <c r="H237" s="17">
        <v>0.78594195</v>
      </c>
    </row>
    <row r="238" spans="1:8">
      <c r="A238" s="3">
        <v>1604</v>
      </c>
      <c r="B238" t="s">
        <v>376</v>
      </c>
      <c r="C238" t="s">
        <v>377</v>
      </c>
      <c r="D238" t="s">
        <v>378</v>
      </c>
      <c r="E238">
        <v>11.98544216</v>
      </c>
      <c r="F238">
        <v>-10.69090652</v>
      </c>
      <c r="G238" s="3">
        <v>5</v>
      </c>
      <c r="H238" s="17">
        <v>0.79332952800000001</v>
      </c>
    </row>
    <row r="239" spans="1:8">
      <c r="A239" s="3">
        <v>1645</v>
      </c>
      <c r="B239" t="s">
        <v>381</v>
      </c>
      <c r="C239" t="s">
        <v>382</v>
      </c>
      <c r="D239" t="s">
        <v>383</v>
      </c>
      <c r="E239">
        <v>16.471191409999999</v>
      </c>
      <c r="F239">
        <v>-12.26082897</v>
      </c>
      <c r="G239" s="3">
        <v>5</v>
      </c>
      <c r="H239" s="17">
        <v>0.77354195000000003</v>
      </c>
    </row>
    <row r="240" spans="1:8">
      <c r="A240" s="3">
        <v>1646</v>
      </c>
      <c r="B240" t="s">
        <v>384</v>
      </c>
      <c r="C240" t="s">
        <v>1302</v>
      </c>
      <c r="D240" t="s">
        <v>385</v>
      </c>
      <c r="E240">
        <v>14.714674</v>
      </c>
      <c r="F240">
        <v>-16.165496829999999</v>
      </c>
      <c r="G240" s="3">
        <v>5</v>
      </c>
      <c r="H240" s="17">
        <v>0.75554195000000002</v>
      </c>
    </row>
    <row r="241" spans="1:8">
      <c r="A241" s="3">
        <v>1646</v>
      </c>
      <c r="B241" t="s">
        <v>384</v>
      </c>
      <c r="C241" t="s">
        <v>1635</v>
      </c>
      <c r="D241" t="s">
        <v>385</v>
      </c>
      <c r="E241">
        <v>14.714674</v>
      </c>
      <c r="F241">
        <v>-16.165496829999999</v>
      </c>
      <c r="G241" s="3">
        <v>5</v>
      </c>
      <c r="H241" s="17">
        <v>0.75554195000000002</v>
      </c>
    </row>
    <row r="242" spans="1:8">
      <c r="A242" s="3">
        <v>1716</v>
      </c>
      <c r="B242" t="s">
        <v>389</v>
      </c>
      <c r="C242" t="s">
        <v>390</v>
      </c>
      <c r="D242" t="s">
        <v>391</v>
      </c>
      <c r="E242">
        <v>18.042350769999999</v>
      </c>
      <c r="F242">
        <v>-12.835666659999999</v>
      </c>
      <c r="G242" s="3">
        <v>5</v>
      </c>
      <c r="H242" s="17">
        <v>0.75644939200000005</v>
      </c>
    </row>
    <row r="243" spans="1:8">
      <c r="A243" s="3">
        <v>1754</v>
      </c>
      <c r="B243" t="s">
        <v>392</v>
      </c>
      <c r="C243" t="s">
        <v>393</v>
      </c>
      <c r="D243" t="s">
        <v>394</v>
      </c>
      <c r="E243">
        <v>8.7700023649999999</v>
      </c>
      <c r="F243">
        <v>-13.431766509999999</v>
      </c>
      <c r="G243" s="3">
        <v>5</v>
      </c>
      <c r="H243" s="17">
        <v>0.77012952800000001</v>
      </c>
    </row>
    <row r="244" spans="1:8">
      <c r="A244" s="3">
        <v>1765</v>
      </c>
      <c r="B244" t="s">
        <v>396</v>
      </c>
      <c r="C244" t="s">
        <v>397</v>
      </c>
      <c r="D244" t="s">
        <v>398</v>
      </c>
      <c r="E244">
        <v>9.5508747100000004</v>
      </c>
      <c r="F244">
        <v>-9.8084917069999999</v>
      </c>
      <c r="G244" s="3">
        <v>5</v>
      </c>
      <c r="H244" s="17">
        <v>0.839729528</v>
      </c>
    </row>
    <row r="245" spans="1:8">
      <c r="A245" s="3">
        <v>1856</v>
      </c>
      <c r="B245" t="s">
        <v>405</v>
      </c>
      <c r="C245" t="s">
        <v>284</v>
      </c>
      <c r="D245" t="s">
        <v>406</v>
      </c>
      <c r="E245">
        <v>11.190809249999999</v>
      </c>
      <c r="F245">
        <v>-8.594388962</v>
      </c>
      <c r="G245" s="3">
        <v>5</v>
      </c>
      <c r="H245" s="17">
        <v>0.79652952799999999</v>
      </c>
    </row>
    <row r="246" spans="1:8">
      <c r="A246" s="3">
        <v>1909</v>
      </c>
      <c r="B246" t="s">
        <v>409</v>
      </c>
      <c r="C246" t="s">
        <v>410</v>
      </c>
      <c r="D246" t="s">
        <v>411</v>
      </c>
      <c r="E246">
        <v>17.86037254</v>
      </c>
      <c r="F246">
        <v>-10.551162720000001</v>
      </c>
      <c r="G246" s="3">
        <v>5</v>
      </c>
      <c r="H246" s="17">
        <v>0.76843994400000004</v>
      </c>
    </row>
    <row r="247" spans="1:8">
      <c r="A247" s="3">
        <v>1942</v>
      </c>
      <c r="B247" t="s">
        <v>412</v>
      </c>
      <c r="C247" t="s">
        <v>395</v>
      </c>
      <c r="D247" t="s">
        <v>413</v>
      </c>
      <c r="E247">
        <v>10.23727703</v>
      </c>
      <c r="F247">
        <v>-11.72362137</v>
      </c>
      <c r="G247" s="3">
        <v>5</v>
      </c>
      <c r="H247" s="17">
        <v>0.81092952799999996</v>
      </c>
    </row>
    <row r="248" spans="1:8">
      <c r="A248" s="3">
        <v>1950</v>
      </c>
      <c r="B248" t="s">
        <v>628</v>
      </c>
      <c r="C248" t="s">
        <v>627</v>
      </c>
      <c r="D248" t="s">
        <v>629</v>
      </c>
      <c r="E248">
        <v>3.3925054069999998</v>
      </c>
      <c r="F248">
        <v>-11.18982315</v>
      </c>
      <c r="G248" s="3">
        <v>5</v>
      </c>
      <c r="H248" s="17">
        <v>0.76372952800000005</v>
      </c>
    </row>
    <row r="249" spans="1:8">
      <c r="A249" s="3">
        <v>1966</v>
      </c>
      <c r="B249" t="s">
        <v>559</v>
      </c>
      <c r="C249" t="s">
        <v>1303</v>
      </c>
      <c r="D249" t="s">
        <v>560</v>
      </c>
      <c r="E249">
        <v>2.8730828759999998</v>
      </c>
      <c r="F249">
        <v>-13.20420551</v>
      </c>
      <c r="G249" s="3">
        <v>5</v>
      </c>
      <c r="H249" s="17">
        <v>0.758129528</v>
      </c>
    </row>
    <row r="250" spans="1:8">
      <c r="A250" s="3">
        <v>1966</v>
      </c>
      <c r="B250" t="s">
        <v>559</v>
      </c>
      <c r="C250" t="s">
        <v>1636</v>
      </c>
      <c r="D250" t="s">
        <v>560</v>
      </c>
      <c r="E250">
        <v>2.8730828759999998</v>
      </c>
      <c r="F250">
        <v>-13.20420551</v>
      </c>
      <c r="G250" s="3">
        <v>5</v>
      </c>
      <c r="H250" s="17">
        <v>0.758129528</v>
      </c>
    </row>
    <row r="251" spans="1:8">
      <c r="A251" s="3">
        <v>1966</v>
      </c>
      <c r="B251" t="s">
        <v>559</v>
      </c>
      <c r="C251" t="s">
        <v>1637</v>
      </c>
      <c r="D251" t="s">
        <v>560</v>
      </c>
      <c r="E251">
        <v>2.8730828759999998</v>
      </c>
      <c r="F251">
        <v>-13.20420551</v>
      </c>
      <c r="G251" s="3">
        <v>5</v>
      </c>
      <c r="H251" s="17">
        <v>0.758129528</v>
      </c>
    </row>
    <row r="252" spans="1:8">
      <c r="A252" s="3">
        <v>1966</v>
      </c>
      <c r="B252" t="s">
        <v>559</v>
      </c>
      <c r="C252" t="s">
        <v>1638</v>
      </c>
      <c r="D252" t="s">
        <v>560</v>
      </c>
      <c r="E252">
        <v>2.8730828759999998</v>
      </c>
      <c r="F252">
        <v>-13.20420551</v>
      </c>
      <c r="G252" s="3">
        <v>5</v>
      </c>
      <c r="H252" s="17">
        <v>0.758129528</v>
      </c>
    </row>
    <row r="253" spans="1:8">
      <c r="A253" s="3">
        <v>2191</v>
      </c>
      <c r="B253" t="s">
        <v>418</v>
      </c>
      <c r="C253" t="s">
        <v>303</v>
      </c>
      <c r="D253" t="s">
        <v>419</v>
      </c>
      <c r="E253">
        <v>19.604969019999999</v>
      </c>
      <c r="F253">
        <v>-9.5979375840000003</v>
      </c>
      <c r="G253" s="3">
        <v>5</v>
      </c>
      <c r="H253" s="17">
        <v>0.75514194999999995</v>
      </c>
    </row>
    <row r="254" spans="1:8">
      <c r="A254" s="3">
        <v>2232</v>
      </c>
      <c r="B254" t="s">
        <v>429</v>
      </c>
      <c r="C254" t="s">
        <v>430</v>
      </c>
      <c r="D254" t="s">
        <v>431</v>
      </c>
      <c r="E254">
        <v>19.51791382</v>
      </c>
      <c r="F254">
        <v>-14.08447361</v>
      </c>
      <c r="G254" s="3">
        <v>5</v>
      </c>
      <c r="H254" s="17">
        <v>0.78284939200000003</v>
      </c>
    </row>
    <row r="255" spans="1:8">
      <c r="A255" s="3">
        <v>2233</v>
      </c>
      <c r="B255" t="s">
        <v>432</v>
      </c>
      <c r="C255" t="s">
        <v>199</v>
      </c>
      <c r="D255" t="s">
        <v>433</v>
      </c>
      <c r="E255">
        <v>16.75924492</v>
      </c>
      <c r="F255">
        <v>-7.9927439690000002</v>
      </c>
      <c r="G255" s="3">
        <v>5</v>
      </c>
      <c r="H255" s="17">
        <v>0.78074195000000002</v>
      </c>
    </row>
    <row r="256" spans="1:8">
      <c r="A256" s="3">
        <v>2284</v>
      </c>
      <c r="B256" t="s">
        <v>440</v>
      </c>
      <c r="C256" t="s">
        <v>441</v>
      </c>
      <c r="D256" t="s">
        <v>442</v>
      </c>
      <c r="E256">
        <v>13.917457580000001</v>
      </c>
      <c r="F256">
        <v>-6.0100951189999998</v>
      </c>
      <c r="G256" s="3">
        <v>5</v>
      </c>
      <c r="H256" s="17">
        <v>0.81092952799999996</v>
      </c>
    </row>
    <row r="257" spans="1:8">
      <c r="A257" s="3">
        <v>2287</v>
      </c>
      <c r="B257" t="s">
        <v>446</v>
      </c>
      <c r="C257" t="s">
        <v>216</v>
      </c>
      <c r="D257" t="s">
        <v>447</v>
      </c>
      <c r="E257">
        <v>12.60033417</v>
      </c>
      <c r="F257">
        <v>-7.5389041900000002</v>
      </c>
      <c r="G257" s="3">
        <v>5</v>
      </c>
      <c r="H257" s="17">
        <v>0.80812952800000004</v>
      </c>
    </row>
    <row r="258" spans="1:8">
      <c r="A258" s="3">
        <v>2295</v>
      </c>
      <c r="B258" t="s">
        <v>451</v>
      </c>
      <c r="C258" t="s">
        <v>452</v>
      </c>
      <c r="D258" t="s">
        <v>453</v>
      </c>
      <c r="E258">
        <v>3.5256423950000002</v>
      </c>
      <c r="F258">
        <v>-15.26052284</v>
      </c>
      <c r="G258" s="3">
        <v>5</v>
      </c>
      <c r="H258" s="17">
        <v>0.78100254899999999</v>
      </c>
    </row>
    <row r="259" spans="1:8">
      <c r="A259" s="3">
        <v>2304</v>
      </c>
      <c r="B259" t="s">
        <v>454</v>
      </c>
      <c r="C259" t="s">
        <v>288</v>
      </c>
      <c r="D259" t="s">
        <v>455</v>
      </c>
      <c r="E259">
        <v>7.1576690669999996</v>
      </c>
      <c r="F259">
        <v>-11.186293600000001</v>
      </c>
      <c r="G259" s="3">
        <v>5</v>
      </c>
      <c r="H259" s="17">
        <v>0.76289283799999996</v>
      </c>
    </row>
    <row r="260" spans="1:8">
      <c r="A260" s="3">
        <v>2446</v>
      </c>
      <c r="B260" t="s">
        <v>476</v>
      </c>
      <c r="C260" t="s">
        <v>477</v>
      </c>
      <c r="D260" t="s">
        <v>478</v>
      </c>
      <c r="E260">
        <v>10.822463989999999</v>
      </c>
      <c r="F260">
        <v>-17.133459089999999</v>
      </c>
      <c r="G260" s="3">
        <v>5</v>
      </c>
      <c r="H260" s="17">
        <v>0.79460254900000005</v>
      </c>
    </row>
    <row r="261" spans="1:8">
      <c r="A261" s="3">
        <v>209</v>
      </c>
      <c r="B261" t="s">
        <v>109</v>
      </c>
      <c r="C261" t="s">
        <v>110</v>
      </c>
      <c r="D261" t="s">
        <v>111</v>
      </c>
      <c r="E261">
        <v>12.97112179</v>
      </c>
      <c r="F261">
        <v>-2.6184394360000001</v>
      </c>
      <c r="G261" s="3">
        <v>6</v>
      </c>
      <c r="H261" s="17">
        <v>0.80186334100000001</v>
      </c>
    </row>
    <row r="262" spans="1:8">
      <c r="A262" s="3">
        <v>430</v>
      </c>
      <c r="B262" t="s">
        <v>563</v>
      </c>
      <c r="C262" t="s">
        <v>564</v>
      </c>
      <c r="D262" t="s">
        <v>565</v>
      </c>
      <c r="E262">
        <v>10.67355347</v>
      </c>
      <c r="F262">
        <v>0.34815826999999999</v>
      </c>
      <c r="G262" s="3">
        <v>6</v>
      </c>
      <c r="H262" s="17">
        <v>0.76954195000000003</v>
      </c>
    </row>
    <row r="263" spans="1:8">
      <c r="A263" s="3">
        <v>435</v>
      </c>
      <c r="B263" t="s">
        <v>571</v>
      </c>
      <c r="C263" t="s">
        <v>572</v>
      </c>
      <c r="D263" t="s">
        <v>573</v>
      </c>
      <c r="E263">
        <v>10.454415320000001</v>
      </c>
      <c r="F263">
        <v>4.6317076679999998</v>
      </c>
      <c r="G263" s="3">
        <v>6</v>
      </c>
      <c r="H263" s="17">
        <v>0.78514194999999998</v>
      </c>
    </row>
    <row r="264" spans="1:8">
      <c r="A264" s="3">
        <v>451</v>
      </c>
      <c r="B264" t="s">
        <v>224</v>
      </c>
      <c r="C264" t="s">
        <v>112</v>
      </c>
      <c r="D264" t="s">
        <v>225</v>
      </c>
      <c r="E264">
        <v>13.171063419999999</v>
      </c>
      <c r="F264">
        <v>-0.32552251199999999</v>
      </c>
      <c r="G264" s="3">
        <v>6</v>
      </c>
      <c r="H264" s="17">
        <v>0.79083805100000004</v>
      </c>
    </row>
    <row r="265" spans="1:8">
      <c r="A265" s="3">
        <v>516</v>
      </c>
      <c r="B265" t="s">
        <v>248</v>
      </c>
      <c r="C265" t="s">
        <v>249</v>
      </c>
      <c r="D265" t="s">
        <v>250</v>
      </c>
      <c r="E265">
        <v>12.401068690000001</v>
      </c>
      <c r="F265">
        <v>3.304866552</v>
      </c>
      <c r="G265" s="3">
        <v>6</v>
      </c>
      <c r="H265" s="17">
        <v>0.76274195</v>
      </c>
    </row>
    <row r="266" spans="1:8">
      <c r="A266" s="3">
        <v>525</v>
      </c>
      <c r="B266" t="s">
        <v>575</v>
      </c>
      <c r="C266" t="s">
        <v>574</v>
      </c>
      <c r="D266" t="s">
        <v>576</v>
      </c>
      <c r="E266">
        <v>8.9115352629999993</v>
      </c>
      <c r="F266">
        <v>1.9659128189999999</v>
      </c>
      <c r="G266" s="3">
        <v>6</v>
      </c>
      <c r="H266" s="17">
        <v>0.78434194999999995</v>
      </c>
    </row>
    <row r="267" spans="1:8">
      <c r="A267" s="3">
        <v>815</v>
      </c>
      <c r="B267" t="s">
        <v>351</v>
      </c>
      <c r="C267" t="s">
        <v>251</v>
      </c>
      <c r="D267" t="s">
        <v>352</v>
      </c>
      <c r="E267">
        <v>10.904526710000001</v>
      </c>
      <c r="F267">
        <v>2.5674369339999998</v>
      </c>
      <c r="G267" s="3">
        <v>6</v>
      </c>
      <c r="H267" s="17">
        <v>0.75914194999999995</v>
      </c>
    </row>
    <row r="268" spans="1:8">
      <c r="A268" s="3">
        <v>1599</v>
      </c>
      <c r="B268" t="s">
        <v>567</v>
      </c>
      <c r="C268" t="s">
        <v>566</v>
      </c>
      <c r="D268" t="s">
        <v>568</v>
      </c>
      <c r="E268">
        <v>13.487564089999999</v>
      </c>
      <c r="F268">
        <v>2.0062682629999999</v>
      </c>
      <c r="G268" s="3">
        <v>6</v>
      </c>
      <c r="H268" s="17">
        <v>0.76994194999999999</v>
      </c>
    </row>
    <row r="269" spans="1:8">
      <c r="A269" s="3">
        <v>2308</v>
      </c>
      <c r="B269" t="s">
        <v>456</v>
      </c>
      <c r="C269" t="s">
        <v>457</v>
      </c>
      <c r="D269" t="s">
        <v>458</v>
      </c>
      <c r="E269">
        <v>8.9858989719999993</v>
      </c>
      <c r="F269">
        <v>3.7441544530000002</v>
      </c>
      <c r="G269" s="3">
        <v>6</v>
      </c>
      <c r="H269" s="17">
        <v>0.839002515</v>
      </c>
    </row>
    <row r="270" spans="1:8">
      <c r="A270" s="3">
        <v>2396</v>
      </c>
      <c r="B270" t="s">
        <v>569</v>
      </c>
      <c r="C270" t="s">
        <v>353</v>
      </c>
      <c r="D270" t="s">
        <v>570</v>
      </c>
      <c r="E270">
        <v>12.07548809</v>
      </c>
      <c r="F270">
        <v>1.3505041600000001</v>
      </c>
      <c r="G270" s="3">
        <v>6</v>
      </c>
      <c r="H270" s="17">
        <v>0.76354195000000002</v>
      </c>
    </row>
    <row r="271" spans="1:8">
      <c r="A271" s="3">
        <v>443</v>
      </c>
      <c r="B271" t="s">
        <v>220</v>
      </c>
      <c r="C271" t="s">
        <v>221</v>
      </c>
      <c r="D271" t="s">
        <v>222</v>
      </c>
      <c r="E271">
        <v>3.4640991689999998</v>
      </c>
      <c r="F271">
        <v>8.0650835040000004</v>
      </c>
      <c r="G271" s="3">
        <v>7</v>
      </c>
      <c r="H271" s="17">
        <v>0.83795119299999998</v>
      </c>
    </row>
    <row r="272" spans="1:8">
      <c r="A272" s="3">
        <v>812</v>
      </c>
      <c r="B272" t="s">
        <v>349</v>
      </c>
      <c r="C272" t="s">
        <v>223</v>
      </c>
      <c r="D272" t="s">
        <v>350</v>
      </c>
      <c r="E272">
        <v>2.9229640959999998</v>
      </c>
      <c r="F272">
        <v>9.7811384199999996</v>
      </c>
      <c r="G272" s="3">
        <v>7</v>
      </c>
      <c r="H272" s="17">
        <v>0.84875119300000001</v>
      </c>
    </row>
    <row r="273" spans="1:8">
      <c r="A273" s="3">
        <v>1698</v>
      </c>
      <c r="B273" t="s">
        <v>18</v>
      </c>
      <c r="C273" t="s">
        <v>19</v>
      </c>
      <c r="D273" t="s">
        <v>60</v>
      </c>
      <c r="E273">
        <v>4.8509249690000003</v>
      </c>
      <c r="F273">
        <v>10.067907330000001</v>
      </c>
      <c r="G273" s="3">
        <v>7</v>
      </c>
      <c r="H273" s="17">
        <v>0.76355537200000001</v>
      </c>
    </row>
    <row r="276" spans="1:8">
      <c r="E276" s="17"/>
      <c r="F276" s="17"/>
    </row>
    <row r="277" spans="1:8">
      <c r="E277" s="17"/>
      <c r="F277" s="17"/>
    </row>
    <row r="278" spans="1:8">
      <c r="E278" s="17"/>
      <c r="F278" s="17"/>
      <c r="H278" s="17"/>
    </row>
    <row r="279" spans="1:8">
      <c r="E279" s="17"/>
      <c r="H279" s="17"/>
    </row>
    <row r="280" spans="1:8">
      <c r="E280" s="17"/>
      <c r="H280" s="17"/>
    </row>
    <row r="281" spans="1:8">
      <c r="E281" s="17"/>
      <c r="H281" s="17"/>
    </row>
    <row r="282" spans="1:8">
      <c r="E282" s="17"/>
      <c r="H282" s="17"/>
    </row>
    <row r="283" spans="1:8">
      <c r="E283" s="17"/>
      <c r="H283" s="17"/>
    </row>
    <row r="284" spans="1:8">
      <c r="E284" s="17"/>
      <c r="H284" s="17"/>
    </row>
    <row r="285" spans="1:8">
      <c r="E285" s="17"/>
      <c r="H285" s="17"/>
    </row>
    <row r="286" spans="1:8">
      <c r="H286" s="17"/>
    </row>
    <row r="287" spans="1:8">
      <c r="H287" s="17"/>
    </row>
    <row r="288" spans="1:8">
      <c r="H288" s="17"/>
    </row>
    <row r="289" spans="8:8">
      <c r="H289" s="17"/>
    </row>
    <row r="290" spans="8:8">
      <c r="H290" s="17"/>
    </row>
    <row r="291" spans="8:8">
      <c r="H291" s="17"/>
    </row>
    <row r="292" spans="8:8">
      <c r="H292" s="17"/>
    </row>
    <row r="293" spans="8:8">
      <c r="H293" s="17"/>
    </row>
    <row r="294" spans="8:8">
      <c r="H294" s="17"/>
    </row>
    <row r="295" spans="8:8">
      <c r="H295" s="17"/>
    </row>
    <row r="296" spans="8:8">
      <c r="H296" s="17"/>
    </row>
    <row r="297" spans="8:8">
      <c r="H297" s="17"/>
    </row>
    <row r="298" spans="8:8">
      <c r="H298" s="17"/>
    </row>
    <row r="299" spans="8:8">
      <c r="H299" s="17"/>
    </row>
    <row r="300" spans="8:8">
      <c r="H300" s="17"/>
    </row>
    <row r="301" spans="8:8">
      <c r="H301" s="17"/>
    </row>
    <row r="302" spans="8:8">
      <c r="H302" s="17"/>
    </row>
    <row r="303" spans="8:8">
      <c r="H303" s="17"/>
    </row>
    <row r="304" spans="8:8">
      <c r="H304" s="17"/>
    </row>
    <row r="305" spans="8:8">
      <c r="H305" s="17"/>
    </row>
    <row r="306" spans="8:8">
      <c r="H306" s="17"/>
    </row>
    <row r="307" spans="8:8">
      <c r="H307" s="17"/>
    </row>
    <row r="308" spans="8:8">
      <c r="H308" s="17"/>
    </row>
    <row r="309" spans="8:8">
      <c r="H309" s="17"/>
    </row>
    <row r="310" spans="8:8">
      <c r="H310" s="17"/>
    </row>
    <row r="311" spans="8:8">
      <c r="H311" s="17"/>
    </row>
    <row r="312" spans="8:8">
      <c r="H312" s="17"/>
    </row>
    <row r="313" spans="8:8">
      <c r="H313" s="17"/>
    </row>
    <row r="314" spans="8:8">
      <c r="H314" s="17"/>
    </row>
    <row r="315" spans="8:8">
      <c r="H315" s="17"/>
    </row>
    <row r="316" spans="8:8">
      <c r="H316" s="17"/>
    </row>
    <row r="317" spans="8:8">
      <c r="H317" s="17"/>
    </row>
    <row r="318" spans="8:8">
      <c r="H318" s="17"/>
    </row>
    <row r="319" spans="8:8">
      <c r="H319" s="17"/>
    </row>
    <row r="320" spans="8:8">
      <c r="H320" s="17"/>
    </row>
    <row r="321" spans="8:8">
      <c r="H321" s="17"/>
    </row>
    <row r="322" spans="8:8">
      <c r="H322" s="17"/>
    </row>
    <row r="323" spans="8:8">
      <c r="H323" s="17"/>
    </row>
    <row r="324" spans="8:8">
      <c r="H324" s="17"/>
    </row>
    <row r="325" spans="8:8">
      <c r="H325" s="17"/>
    </row>
    <row r="326" spans="8:8">
      <c r="H326" s="17"/>
    </row>
    <row r="327" spans="8:8">
      <c r="H327" s="17"/>
    </row>
    <row r="328" spans="8:8">
      <c r="H328" s="17"/>
    </row>
    <row r="329" spans="8:8">
      <c r="H329" s="17"/>
    </row>
    <row r="330" spans="8:8">
      <c r="H330" s="17"/>
    </row>
    <row r="331" spans="8:8">
      <c r="H331" s="17"/>
    </row>
    <row r="332" spans="8:8">
      <c r="H332" s="17"/>
    </row>
    <row r="333" spans="8:8">
      <c r="H333" s="17"/>
    </row>
    <row r="334" spans="8:8">
      <c r="H334" s="17"/>
    </row>
    <row r="335" spans="8:8">
      <c r="H335" s="17"/>
    </row>
    <row r="336" spans="8:8">
      <c r="H336" s="17"/>
    </row>
    <row r="337" spans="8:8">
      <c r="H337" s="17"/>
    </row>
    <row r="338" spans="8:8">
      <c r="H338" s="17"/>
    </row>
    <row r="339" spans="8:8">
      <c r="H339" s="17"/>
    </row>
    <row r="340" spans="8:8">
      <c r="H340" s="17"/>
    </row>
    <row r="341" spans="8:8">
      <c r="H341" s="17"/>
    </row>
    <row r="342" spans="8:8">
      <c r="H342" s="17"/>
    </row>
    <row r="343" spans="8:8">
      <c r="H343" s="17"/>
    </row>
    <row r="344" spans="8:8">
      <c r="H344" s="17"/>
    </row>
    <row r="345" spans="8:8">
      <c r="H345" s="17"/>
    </row>
    <row r="346" spans="8:8">
      <c r="H346" s="17"/>
    </row>
    <row r="347" spans="8:8">
      <c r="H347" s="17"/>
    </row>
    <row r="348" spans="8:8">
      <c r="H348" s="17"/>
    </row>
    <row r="349" spans="8:8">
      <c r="H349" s="17"/>
    </row>
    <row r="350" spans="8:8">
      <c r="H350" s="17"/>
    </row>
    <row r="351" spans="8:8">
      <c r="H351" s="17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651B1-B0C4-4AE7-AAD9-E1BBDA69EF1E}">
  <dimension ref="A1:L643"/>
  <sheetViews>
    <sheetView workbookViewId="0">
      <selection activeCell="A559" sqref="A559"/>
    </sheetView>
  </sheetViews>
  <sheetFormatPr defaultRowHeight="14.25"/>
  <cols>
    <col min="1" max="1" width="8.75" style="3"/>
    <col min="2" max="2" width="11" style="3" customWidth="1"/>
    <col min="3" max="3" width="26" style="3" customWidth="1"/>
    <col min="4" max="4" width="75.25" style="12" customWidth="1"/>
    <col min="5" max="5" width="13.5" style="3" customWidth="1"/>
    <col min="6" max="6" width="14.75" customWidth="1"/>
    <col min="7" max="7" width="13.25" style="16" customWidth="1"/>
  </cols>
  <sheetData>
    <row r="1" spans="1:12" ht="31.15" customHeight="1">
      <c r="A1" s="27" t="s">
        <v>649</v>
      </c>
      <c r="B1" s="27" t="s">
        <v>1285</v>
      </c>
      <c r="C1" s="28" t="s">
        <v>981</v>
      </c>
      <c r="D1" s="27" t="s">
        <v>650</v>
      </c>
      <c r="E1" s="28" t="s">
        <v>651</v>
      </c>
      <c r="F1" s="28" t="s">
        <v>656</v>
      </c>
      <c r="G1" s="27" t="s">
        <v>652</v>
      </c>
    </row>
    <row r="2" spans="1:12" ht="99.75">
      <c r="A2" s="19">
        <v>0</v>
      </c>
      <c r="B2" s="19"/>
      <c r="C2" s="18" t="s">
        <v>1642</v>
      </c>
      <c r="D2" s="20" t="s">
        <v>1643</v>
      </c>
      <c r="E2" s="21" t="s">
        <v>1650</v>
      </c>
      <c r="F2" s="21">
        <v>0.90600000000000003</v>
      </c>
      <c r="G2" s="21">
        <v>37</v>
      </c>
    </row>
    <row r="3" spans="1:12" ht="272.25" customHeight="1">
      <c r="A3" s="19">
        <v>1</v>
      </c>
      <c r="B3" s="19"/>
      <c r="C3" s="22" t="s">
        <v>1663</v>
      </c>
      <c r="D3" s="23" t="s">
        <v>1644</v>
      </c>
      <c r="E3" s="21" t="s">
        <v>1651</v>
      </c>
      <c r="F3" s="21">
        <v>0.83899999999999997</v>
      </c>
      <c r="G3" s="21">
        <v>119</v>
      </c>
      <c r="J3" s="3"/>
    </row>
    <row r="4" spans="1:12" ht="57">
      <c r="A4" s="19">
        <v>2</v>
      </c>
      <c r="B4" s="19"/>
      <c r="C4" s="22" t="s">
        <v>1639</v>
      </c>
      <c r="D4" s="23" t="s">
        <v>1645</v>
      </c>
      <c r="E4" s="21" t="s">
        <v>1652</v>
      </c>
      <c r="F4" s="21">
        <v>0.80100000000000005</v>
      </c>
      <c r="G4" s="21">
        <v>24</v>
      </c>
      <c r="J4" s="3"/>
    </row>
    <row r="5" spans="1:12" ht="42.75">
      <c r="A5" s="19">
        <v>3</v>
      </c>
      <c r="B5" s="19"/>
      <c r="C5" s="22" t="s">
        <v>1640</v>
      </c>
      <c r="D5" s="23" t="s">
        <v>1646</v>
      </c>
      <c r="E5" s="21" t="s">
        <v>1653</v>
      </c>
      <c r="F5" s="21">
        <v>0.76600000000000001</v>
      </c>
      <c r="G5" s="21">
        <v>5</v>
      </c>
      <c r="J5" s="3"/>
    </row>
    <row r="6" spans="1:12" ht="171">
      <c r="A6" s="19">
        <v>4</v>
      </c>
      <c r="B6" s="19"/>
      <c r="C6" s="22" t="s">
        <v>1665</v>
      </c>
      <c r="D6" s="23" t="s">
        <v>1647</v>
      </c>
      <c r="E6" s="21" t="s">
        <v>1654</v>
      </c>
      <c r="F6" s="21">
        <v>0.78100000000000003</v>
      </c>
      <c r="G6" s="21">
        <v>74</v>
      </c>
      <c r="J6" s="3"/>
    </row>
    <row r="7" spans="1:12" ht="28.5">
      <c r="A7" s="19">
        <v>5</v>
      </c>
      <c r="B7" s="19"/>
      <c r="C7" s="4" t="s">
        <v>1664</v>
      </c>
      <c r="D7" s="23" t="s">
        <v>1648</v>
      </c>
      <c r="E7" s="21" t="s">
        <v>1655</v>
      </c>
      <c r="F7" s="21">
        <v>0.78300000000000003</v>
      </c>
      <c r="G7" s="21">
        <v>10</v>
      </c>
      <c r="J7" s="3"/>
    </row>
    <row r="8" spans="1:12">
      <c r="A8" s="19">
        <v>6</v>
      </c>
      <c r="B8" s="19"/>
      <c r="C8" s="22" t="s">
        <v>1641</v>
      </c>
      <c r="D8" s="23" t="s">
        <v>1649</v>
      </c>
      <c r="E8" s="19" t="s">
        <v>1656</v>
      </c>
      <c r="F8" s="19">
        <v>0.81699999999999995</v>
      </c>
      <c r="G8" s="21">
        <v>3</v>
      </c>
    </row>
    <row r="10" spans="1:12">
      <c r="A10" s="12" t="s">
        <v>1657</v>
      </c>
    </row>
    <row r="11" spans="1:12" ht="15">
      <c r="A11" s="26" t="s">
        <v>649</v>
      </c>
      <c r="B11" s="26" t="s">
        <v>980</v>
      </c>
      <c r="C11" s="26" t="s">
        <v>1304</v>
      </c>
      <c r="D11" s="26" t="s">
        <v>1305</v>
      </c>
    </row>
    <row r="12" spans="1:12">
      <c r="A12" s="3">
        <v>0</v>
      </c>
      <c r="B12" s="9">
        <v>0.97297297297297303</v>
      </c>
      <c r="C12" s="3" t="s">
        <v>1306</v>
      </c>
      <c r="D12" s="12" t="s">
        <v>982</v>
      </c>
    </row>
    <row r="13" spans="1:12">
      <c r="A13" s="3">
        <v>0</v>
      </c>
      <c r="B13" s="9">
        <v>0.94594594594594594</v>
      </c>
      <c r="C13" s="3" t="s">
        <v>1307</v>
      </c>
      <c r="D13" s="12" t="s">
        <v>983</v>
      </c>
    </row>
    <row r="14" spans="1:12">
      <c r="A14" s="3">
        <v>0</v>
      </c>
      <c r="B14" s="9">
        <v>0.3783783783783784</v>
      </c>
      <c r="C14" s="3" t="s">
        <v>1308</v>
      </c>
      <c r="D14" s="12" t="s">
        <v>984</v>
      </c>
    </row>
    <row r="15" spans="1:12">
      <c r="A15" s="3">
        <v>1</v>
      </c>
      <c r="B15" s="9">
        <v>0.84</v>
      </c>
      <c r="C15" s="3" t="s">
        <v>1331</v>
      </c>
      <c r="D15" s="12" t="s">
        <v>1007</v>
      </c>
      <c r="L15" s="3"/>
    </row>
    <row r="16" spans="1:12">
      <c r="A16" s="3">
        <v>1</v>
      </c>
      <c r="B16" s="9">
        <v>0.59</v>
      </c>
      <c r="C16" s="3" t="s">
        <v>1332</v>
      </c>
      <c r="D16" s="12" t="s">
        <v>1008</v>
      </c>
      <c r="L16" s="3"/>
    </row>
    <row r="17" spans="1:12">
      <c r="A17" s="3">
        <v>1</v>
      </c>
      <c r="B17" s="9">
        <v>0.47</v>
      </c>
      <c r="C17" s="3" t="s">
        <v>1315</v>
      </c>
      <c r="D17" s="12" t="s">
        <v>991</v>
      </c>
      <c r="L17" s="3"/>
    </row>
    <row r="18" spans="1:12">
      <c r="A18" s="3">
        <v>1</v>
      </c>
      <c r="B18" s="9">
        <v>0.45</v>
      </c>
      <c r="C18" s="3" t="s">
        <v>1310</v>
      </c>
      <c r="D18" s="12" t="s">
        <v>986</v>
      </c>
      <c r="L18" s="3"/>
    </row>
    <row r="19" spans="1:12">
      <c r="A19" s="3">
        <v>1</v>
      </c>
      <c r="B19" s="9">
        <v>0.42</v>
      </c>
      <c r="C19" s="3" t="s">
        <v>1333</v>
      </c>
      <c r="D19" s="12" t="s">
        <v>1010</v>
      </c>
      <c r="L19" s="3"/>
    </row>
    <row r="20" spans="1:12">
      <c r="A20" s="3">
        <v>1</v>
      </c>
      <c r="B20" s="9">
        <v>0.42</v>
      </c>
      <c r="C20" s="3" t="s">
        <v>1323</v>
      </c>
      <c r="D20" s="12" t="s">
        <v>998</v>
      </c>
      <c r="L20" s="3"/>
    </row>
    <row r="21" spans="1:12">
      <c r="A21" s="3">
        <v>1</v>
      </c>
      <c r="B21" s="9">
        <v>0.39</v>
      </c>
      <c r="C21" s="3" t="s">
        <v>1334</v>
      </c>
      <c r="D21" s="12" t="s">
        <v>1009</v>
      </c>
      <c r="L21" s="3"/>
    </row>
    <row r="22" spans="1:12">
      <c r="A22" s="3">
        <v>1</v>
      </c>
      <c r="B22" s="9">
        <v>0.39</v>
      </c>
      <c r="C22" s="3" t="s">
        <v>1309</v>
      </c>
      <c r="D22" s="12" t="s">
        <v>985</v>
      </c>
      <c r="L22" s="3"/>
    </row>
    <row r="23" spans="1:12">
      <c r="A23" s="3">
        <v>1</v>
      </c>
      <c r="B23" s="9">
        <v>0.38</v>
      </c>
      <c r="C23" s="3" t="s">
        <v>1313</v>
      </c>
      <c r="D23" s="12" t="s">
        <v>989</v>
      </c>
      <c r="L23" s="3"/>
    </row>
    <row r="24" spans="1:12">
      <c r="A24" s="3">
        <v>1</v>
      </c>
      <c r="B24" s="9">
        <v>0.34</v>
      </c>
      <c r="C24" s="3" t="s">
        <v>1312</v>
      </c>
      <c r="D24" s="12" t="s">
        <v>988</v>
      </c>
      <c r="L24" s="3"/>
    </row>
    <row r="25" spans="1:12">
      <c r="A25" s="3">
        <v>1</v>
      </c>
      <c r="B25" s="9">
        <v>0.33</v>
      </c>
      <c r="C25" s="3" t="s">
        <v>1311</v>
      </c>
      <c r="D25" s="12" t="s">
        <v>987</v>
      </c>
      <c r="L25" s="3"/>
    </row>
    <row r="26" spans="1:12">
      <c r="A26" s="3">
        <v>2</v>
      </c>
      <c r="B26" s="9">
        <v>0.42</v>
      </c>
      <c r="C26" s="3" t="s">
        <v>1319</v>
      </c>
      <c r="D26" s="12" t="s">
        <v>993</v>
      </c>
      <c r="H26" s="3"/>
    </row>
    <row r="27" spans="1:12">
      <c r="A27" s="3">
        <v>2</v>
      </c>
      <c r="B27" s="9">
        <v>0.38</v>
      </c>
      <c r="C27" s="3" t="s">
        <v>1422</v>
      </c>
      <c r="D27" s="12" t="s">
        <v>1083</v>
      </c>
      <c r="H27" s="3"/>
    </row>
    <row r="28" spans="1:12">
      <c r="A28" s="3">
        <v>2</v>
      </c>
      <c r="B28" s="9">
        <v>0.38</v>
      </c>
      <c r="C28" s="3" t="s">
        <v>1327</v>
      </c>
      <c r="D28" s="12" t="s">
        <v>1002</v>
      </c>
      <c r="H28" s="3"/>
    </row>
    <row r="29" spans="1:12">
      <c r="A29" s="3">
        <v>2</v>
      </c>
      <c r="B29" s="9">
        <v>0.33</v>
      </c>
      <c r="C29" s="3" t="s">
        <v>1370</v>
      </c>
      <c r="D29" s="12" t="s">
        <v>1043</v>
      </c>
      <c r="H29" s="3"/>
    </row>
    <row r="30" spans="1:12">
      <c r="A30" s="3">
        <v>2</v>
      </c>
      <c r="B30" s="9">
        <v>0.33</v>
      </c>
      <c r="C30" s="3" t="s">
        <v>1424</v>
      </c>
      <c r="D30" s="12" t="s">
        <v>1085</v>
      </c>
      <c r="H30" s="3"/>
    </row>
    <row r="31" spans="1:12">
      <c r="A31" s="3">
        <v>3</v>
      </c>
      <c r="B31" s="9">
        <v>1</v>
      </c>
      <c r="C31" s="3" t="s">
        <v>1349</v>
      </c>
      <c r="D31" s="12" t="s">
        <v>1027</v>
      </c>
      <c r="I31" s="4"/>
    </row>
    <row r="32" spans="1:12">
      <c r="A32" s="3">
        <v>3</v>
      </c>
      <c r="B32" s="9">
        <v>0.6</v>
      </c>
      <c r="C32" s="3" t="s">
        <v>1343</v>
      </c>
      <c r="D32" s="12" t="s">
        <v>1022</v>
      </c>
      <c r="I32" s="4"/>
    </row>
    <row r="33" spans="1:9">
      <c r="A33" s="3">
        <v>3</v>
      </c>
      <c r="B33" s="10">
        <v>0.6</v>
      </c>
      <c r="C33" s="2" t="s">
        <v>1321</v>
      </c>
      <c r="D33" s="13" t="s">
        <v>996</v>
      </c>
      <c r="E33" s="2"/>
      <c r="F33" s="1"/>
      <c r="G33" s="15"/>
      <c r="H33" s="1"/>
      <c r="I33" s="4"/>
    </row>
    <row r="34" spans="1:9">
      <c r="A34" s="3">
        <v>3</v>
      </c>
      <c r="B34" s="11">
        <v>0.6</v>
      </c>
      <c r="C34" s="4" t="s">
        <v>1309</v>
      </c>
      <c r="D34" s="7" t="s">
        <v>985</v>
      </c>
      <c r="E34" s="4"/>
      <c r="F34" s="4"/>
      <c r="G34" s="4"/>
      <c r="H34" s="1"/>
      <c r="I34" s="4"/>
    </row>
    <row r="35" spans="1:9">
      <c r="A35" s="3">
        <v>3</v>
      </c>
      <c r="B35" s="11">
        <v>0.4</v>
      </c>
      <c r="C35" s="4" t="s">
        <v>1335</v>
      </c>
      <c r="D35" s="7" t="s">
        <v>1011</v>
      </c>
      <c r="E35" s="4"/>
      <c r="F35" s="4"/>
      <c r="G35" s="4"/>
      <c r="H35" s="1"/>
      <c r="I35" s="4"/>
    </row>
    <row r="36" spans="1:9">
      <c r="A36" s="3">
        <v>3</v>
      </c>
      <c r="B36" s="11">
        <v>0.4</v>
      </c>
      <c r="C36" s="4" t="s">
        <v>1330</v>
      </c>
      <c r="D36" s="7" t="s">
        <v>1005</v>
      </c>
      <c r="E36" s="4"/>
      <c r="F36" s="4"/>
      <c r="G36" s="4"/>
      <c r="H36" s="1"/>
      <c r="I36" s="4"/>
    </row>
    <row r="37" spans="1:9">
      <c r="A37" s="3">
        <v>3</v>
      </c>
      <c r="B37" s="11">
        <v>0.4</v>
      </c>
      <c r="C37" s="4" t="s">
        <v>1310</v>
      </c>
      <c r="D37" s="7" t="s">
        <v>986</v>
      </c>
      <c r="E37" s="4"/>
      <c r="F37" s="4"/>
      <c r="G37" s="4"/>
      <c r="H37" s="1"/>
      <c r="I37" s="3"/>
    </row>
    <row r="38" spans="1:9">
      <c r="A38" s="3">
        <v>3</v>
      </c>
      <c r="B38" s="11">
        <v>0.4</v>
      </c>
      <c r="C38" s="4" t="s">
        <v>1371</v>
      </c>
      <c r="D38" s="7" t="s">
        <v>1046</v>
      </c>
      <c r="E38" s="4"/>
      <c r="F38" s="4"/>
      <c r="G38" s="4"/>
      <c r="H38" s="1"/>
      <c r="I38" s="3"/>
    </row>
    <row r="39" spans="1:9">
      <c r="A39" s="3">
        <v>3</v>
      </c>
      <c r="B39" s="11">
        <v>0.4</v>
      </c>
      <c r="C39" s="4" t="s">
        <v>1372</v>
      </c>
      <c r="D39" s="7" t="s">
        <v>1047</v>
      </c>
      <c r="E39" s="4"/>
      <c r="F39" s="4"/>
      <c r="G39" s="4"/>
      <c r="H39" s="1"/>
      <c r="I39" s="2"/>
    </row>
    <row r="40" spans="1:9">
      <c r="A40" s="3">
        <v>4</v>
      </c>
      <c r="B40" s="11">
        <v>0.41</v>
      </c>
      <c r="C40" s="4" t="s">
        <v>1342</v>
      </c>
      <c r="D40" s="7" t="s">
        <v>1018</v>
      </c>
      <c r="E40" s="4"/>
      <c r="F40" s="4"/>
      <c r="G40" s="4"/>
      <c r="H40" s="4"/>
    </row>
    <row r="41" spans="1:9">
      <c r="A41" s="3">
        <v>4</v>
      </c>
      <c r="B41" s="11">
        <v>0.41</v>
      </c>
      <c r="C41" s="4" t="s">
        <v>1336</v>
      </c>
      <c r="D41" s="7" t="s">
        <v>1012</v>
      </c>
      <c r="E41" s="4"/>
      <c r="F41" s="4"/>
      <c r="G41" s="4"/>
      <c r="H41" s="4"/>
    </row>
    <row r="42" spans="1:9">
      <c r="A42" s="3">
        <v>4</v>
      </c>
      <c r="B42" s="11">
        <v>0.41</v>
      </c>
      <c r="C42" s="4" t="s">
        <v>1326</v>
      </c>
      <c r="D42" s="7" t="s">
        <v>1001</v>
      </c>
      <c r="E42" s="4"/>
      <c r="F42" s="4"/>
      <c r="G42" s="4"/>
      <c r="H42" s="4"/>
    </row>
    <row r="43" spans="1:9">
      <c r="A43" s="3">
        <v>4</v>
      </c>
      <c r="B43" s="11">
        <v>0.39</v>
      </c>
      <c r="C43" s="4" t="s">
        <v>1310</v>
      </c>
      <c r="D43" s="7" t="s">
        <v>986</v>
      </c>
      <c r="E43" s="4"/>
      <c r="F43" s="4"/>
      <c r="G43" s="4"/>
      <c r="H43" s="4"/>
    </row>
    <row r="44" spans="1:9">
      <c r="A44" s="3">
        <v>4</v>
      </c>
      <c r="B44" s="11">
        <v>0.36</v>
      </c>
      <c r="C44" s="4" t="s">
        <v>1344</v>
      </c>
      <c r="D44" s="7" t="s">
        <v>1020</v>
      </c>
      <c r="E44" s="4"/>
      <c r="F44" s="4"/>
      <c r="G44" s="4"/>
      <c r="H44" s="4"/>
    </row>
    <row r="45" spans="1:9">
      <c r="A45" s="3">
        <v>4</v>
      </c>
      <c r="B45" s="11">
        <v>0.36</v>
      </c>
      <c r="C45" s="4" t="s">
        <v>1347</v>
      </c>
      <c r="D45" s="7" t="s">
        <v>1023</v>
      </c>
      <c r="E45" s="4"/>
      <c r="F45" s="4"/>
      <c r="G45" s="4"/>
      <c r="H45" s="4"/>
    </row>
    <row r="46" spans="1:9">
      <c r="A46" s="3">
        <v>4</v>
      </c>
      <c r="B46" s="11">
        <v>0.35</v>
      </c>
      <c r="C46" s="4" t="s">
        <v>1309</v>
      </c>
      <c r="D46" s="7" t="s">
        <v>985</v>
      </c>
      <c r="E46" s="4"/>
      <c r="F46" s="4"/>
      <c r="G46" s="4"/>
      <c r="H46" s="4"/>
    </row>
    <row r="47" spans="1:9">
      <c r="A47" s="3">
        <v>5</v>
      </c>
      <c r="B47" s="11">
        <v>0.9</v>
      </c>
      <c r="C47" s="4" t="s">
        <v>1548</v>
      </c>
      <c r="D47" s="7" t="s">
        <v>1217</v>
      </c>
      <c r="E47" s="4"/>
      <c r="F47" s="4"/>
      <c r="G47" s="4"/>
      <c r="H47" s="4"/>
    </row>
    <row r="48" spans="1:9">
      <c r="A48" s="3">
        <v>5</v>
      </c>
      <c r="B48" s="11">
        <v>0.7</v>
      </c>
      <c r="C48" s="4" t="s">
        <v>1394</v>
      </c>
      <c r="D48" s="7" t="s">
        <v>1070</v>
      </c>
      <c r="E48" s="4"/>
      <c r="F48" s="4"/>
      <c r="G48" s="4"/>
      <c r="H48" s="4"/>
    </row>
    <row r="49" spans="1:8">
      <c r="A49" s="3">
        <v>5</v>
      </c>
      <c r="B49" s="11">
        <v>0.4</v>
      </c>
      <c r="C49" s="4" t="s">
        <v>1370</v>
      </c>
      <c r="D49" s="7" t="s">
        <v>1043</v>
      </c>
      <c r="E49" s="4"/>
      <c r="F49" s="4"/>
      <c r="G49" s="4"/>
      <c r="H49" s="4"/>
    </row>
    <row r="50" spans="1:8">
      <c r="A50" s="3">
        <v>6</v>
      </c>
      <c r="B50" s="11">
        <v>0.67</v>
      </c>
      <c r="C50" s="4" t="s">
        <v>1306</v>
      </c>
      <c r="D50" s="7" t="s">
        <v>982</v>
      </c>
      <c r="E50" s="4"/>
      <c r="F50" s="4"/>
      <c r="G50" s="4"/>
      <c r="H50" s="1"/>
    </row>
    <row r="51" spans="1:8">
      <c r="A51" s="3">
        <v>6</v>
      </c>
      <c r="B51" s="11">
        <v>0.67</v>
      </c>
      <c r="C51" s="4" t="s">
        <v>1307</v>
      </c>
      <c r="D51" s="7" t="s">
        <v>983</v>
      </c>
      <c r="E51" s="4"/>
      <c r="F51" s="4"/>
      <c r="G51" s="4"/>
      <c r="H51" s="1"/>
    </row>
    <row r="52" spans="1:8">
      <c r="A52" s="3">
        <v>6</v>
      </c>
      <c r="B52" s="11">
        <v>0.67</v>
      </c>
      <c r="C52" s="4" t="s">
        <v>1601</v>
      </c>
      <c r="D52" s="7" t="s">
        <v>1276</v>
      </c>
      <c r="E52" s="4"/>
      <c r="F52" s="4"/>
      <c r="G52" s="4"/>
      <c r="H52" s="1"/>
    </row>
    <row r="53" spans="1:8">
      <c r="B53" s="11"/>
      <c r="C53" s="4"/>
      <c r="D53" s="7"/>
      <c r="E53" s="4"/>
      <c r="F53" s="4"/>
      <c r="G53" s="4"/>
      <c r="H53" s="1"/>
    </row>
    <row r="54" spans="1:8">
      <c r="A54" s="1" t="s">
        <v>1658</v>
      </c>
      <c r="B54" s="4"/>
      <c r="C54" s="4"/>
      <c r="D54" s="7"/>
      <c r="E54" s="4"/>
      <c r="F54" s="4"/>
      <c r="G54" s="4"/>
      <c r="H54" s="1"/>
    </row>
    <row r="55" spans="1:8" ht="15">
      <c r="A55" s="24" t="s">
        <v>1286</v>
      </c>
      <c r="B55" s="24" t="s">
        <v>653</v>
      </c>
      <c r="C55" s="24" t="s">
        <v>980</v>
      </c>
      <c r="D55" s="24" t="s">
        <v>1305</v>
      </c>
      <c r="E55" s="24" t="s">
        <v>1304</v>
      </c>
      <c r="G55" s="4"/>
      <c r="H55" s="1"/>
    </row>
    <row r="56" spans="1:8">
      <c r="A56" s="4" t="s">
        <v>686</v>
      </c>
      <c r="B56" s="4">
        <v>36</v>
      </c>
      <c r="C56" s="5">
        <f t="shared" ref="C56:C80" si="0">B56/37</f>
        <v>0.97297297297297303</v>
      </c>
      <c r="D56" s="7" t="s">
        <v>982</v>
      </c>
      <c r="E56" s="4" t="s">
        <v>1306</v>
      </c>
      <c r="G56" s="4"/>
      <c r="H56" s="1"/>
    </row>
    <row r="57" spans="1:8">
      <c r="A57" s="4" t="s">
        <v>687</v>
      </c>
      <c r="B57" s="4">
        <v>35</v>
      </c>
      <c r="C57" s="5">
        <f t="shared" si="0"/>
        <v>0.94594594594594594</v>
      </c>
      <c r="D57" s="7" t="s">
        <v>983</v>
      </c>
      <c r="E57" s="4" t="s">
        <v>1307</v>
      </c>
      <c r="G57" s="4"/>
      <c r="H57" s="1"/>
    </row>
    <row r="58" spans="1:8">
      <c r="A58" s="2" t="s">
        <v>692</v>
      </c>
      <c r="B58" s="2">
        <v>14</v>
      </c>
      <c r="C58" s="5">
        <f t="shared" si="0"/>
        <v>0.3783783783783784</v>
      </c>
      <c r="D58" s="1" t="s">
        <v>984</v>
      </c>
      <c r="E58" s="3" t="s">
        <v>1308</v>
      </c>
      <c r="G58" s="4"/>
      <c r="H58" s="1"/>
    </row>
    <row r="59" spans="1:8">
      <c r="A59" s="4" t="s">
        <v>689</v>
      </c>
      <c r="B59" s="4">
        <v>11</v>
      </c>
      <c r="C59" s="5">
        <f t="shared" si="0"/>
        <v>0.29729729729729731</v>
      </c>
      <c r="D59" s="7" t="s">
        <v>985</v>
      </c>
      <c r="E59" s="4" t="s">
        <v>1309</v>
      </c>
      <c r="G59" s="4"/>
      <c r="H59" s="1"/>
    </row>
    <row r="60" spans="1:8">
      <c r="A60" s="2" t="s">
        <v>700</v>
      </c>
      <c r="B60" s="2">
        <v>11</v>
      </c>
      <c r="C60" s="5">
        <f t="shared" si="0"/>
        <v>0.29729729729729731</v>
      </c>
      <c r="D60" t="s">
        <v>986</v>
      </c>
      <c r="E60" s="5" t="s">
        <v>1310</v>
      </c>
      <c r="G60" s="4"/>
      <c r="H60" s="1"/>
    </row>
    <row r="61" spans="1:8">
      <c r="A61" s="4" t="s">
        <v>690</v>
      </c>
      <c r="B61" s="4">
        <v>9</v>
      </c>
      <c r="C61" s="5">
        <f t="shared" si="0"/>
        <v>0.24324324324324326</v>
      </c>
      <c r="D61" s="7" t="s">
        <v>987</v>
      </c>
      <c r="E61" s="4" t="s">
        <v>1311</v>
      </c>
      <c r="G61" s="4"/>
      <c r="H61" s="1"/>
    </row>
    <row r="62" spans="1:8">
      <c r="A62" s="2" t="s">
        <v>691</v>
      </c>
      <c r="B62" s="2">
        <v>9</v>
      </c>
      <c r="C62" s="5">
        <f t="shared" si="0"/>
        <v>0.24324324324324326</v>
      </c>
      <c r="D62" s="1" t="s">
        <v>988</v>
      </c>
      <c r="E62" s="2" t="s">
        <v>1312</v>
      </c>
    </row>
    <row r="63" spans="1:8">
      <c r="A63" s="2" t="s">
        <v>701</v>
      </c>
      <c r="B63" s="2">
        <v>8</v>
      </c>
      <c r="C63" s="5">
        <f t="shared" si="0"/>
        <v>0.21621621621621623</v>
      </c>
      <c r="D63" t="s">
        <v>989</v>
      </c>
      <c r="E63" s="5" t="s">
        <v>1313</v>
      </c>
    </row>
    <row r="64" spans="1:8">
      <c r="A64" s="2" t="s">
        <v>702</v>
      </c>
      <c r="B64" s="2">
        <v>8</v>
      </c>
      <c r="C64" s="5">
        <f t="shared" si="0"/>
        <v>0.21621621621621623</v>
      </c>
      <c r="D64" t="s">
        <v>990</v>
      </c>
      <c r="E64" s="5" t="s">
        <v>1314</v>
      </c>
    </row>
    <row r="65" spans="1:5">
      <c r="A65" s="2" t="s">
        <v>695</v>
      </c>
      <c r="B65" s="2">
        <v>5</v>
      </c>
      <c r="C65" s="5">
        <f t="shared" si="0"/>
        <v>0.13513513513513514</v>
      </c>
      <c r="D65" t="s">
        <v>991</v>
      </c>
      <c r="E65" s="5" t="s">
        <v>1315</v>
      </c>
    </row>
    <row r="66" spans="1:5">
      <c r="A66" s="2" t="s">
        <v>696</v>
      </c>
      <c r="B66" s="2">
        <v>4</v>
      </c>
      <c r="C66" s="5">
        <f t="shared" si="0"/>
        <v>0.10810810810810811</v>
      </c>
      <c r="D66" t="s">
        <v>994</v>
      </c>
      <c r="E66" s="5" t="s">
        <v>1316</v>
      </c>
    </row>
    <row r="67" spans="1:5">
      <c r="A67" s="2" t="s">
        <v>751</v>
      </c>
      <c r="B67" s="2">
        <v>1</v>
      </c>
      <c r="C67" s="5">
        <f t="shared" si="0"/>
        <v>2.7027027027027029E-2</v>
      </c>
      <c r="D67" t="s">
        <v>1006</v>
      </c>
      <c r="E67" s="5" t="s">
        <v>1317</v>
      </c>
    </row>
    <row r="68" spans="1:5">
      <c r="A68" s="2" t="s">
        <v>746</v>
      </c>
      <c r="B68" s="2">
        <v>2</v>
      </c>
      <c r="C68" s="5">
        <f t="shared" si="0"/>
        <v>5.4054054054054057E-2</v>
      </c>
      <c r="D68" t="s">
        <v>992</v>
      </c>
      <c r="E68" s="5" t="s">
        <v>1318</v>
      </c>
    </row>
    <row r="69" spans="1:5">
      <c r="A69" s="2" t="s">
        <v>694</v>
      </c>
      <c r="B69" s="2">
        <v>2</v>
      </c>
      <c r="C69" s="5">
        <f t="shared" si="0"/>
        <v>5.4054054054054057E-2</v>
      </c>
      <c r="D69" t="s">
        <v>993</v>
      </c>
      <c r="E69" s="5" t="s">
        <v>1319</v>
      </c>
    </row>
    <row r="70" spans="1:5">
      <c r="A70" s="4" t="s">
        <v>688</v>
      </c>
      <c r="B70" s="4">
        <v>1</v>
      </c>
      <c r="C70" s="5">
        <f t="shared" si="0"/>
        <v>2.7027027027027029E-2</v>
      </c>
      <c r="D70" s="7" t="s">
        <v>995</v>
      </c>
      <c r="E70" s="4" t="s">
        <v>1320</v>
      </c>
    </row>
    <row r="71" spans="1:5">
      <c r="A71" s="2" t="s">
        <v>744</v>
      </c>
      <c r="B71" s="2">
        <v>1</v>
      </c>
      <c r="C71" s="5">
        <f t="shared" si="0"/>
        <v>2.7027027027027029E-2</v>
      </c>
      <c r="D71" t="s">
        <v>996</v>
      </c>
      <c r="E71" s="5" t="s">
        <v>1321</v>
      </c>
    </row>
    <row r="72" spans="1:5">
      <c r="A72" s="2" t="s">
        <v>747</v>
      </c>
      <c r="B72" s="2">
        <v>1</v>
      </c>
      <c r="C72" s="5">
        <f t="shared" si="0"/>
        <v>2.7027027027027029E-2</v>
      </c>
      <c r="D72" t="s">
        <v>997</v>
      </c>
      <c r="E72" s="5" t="s">
        <v>1322</v>
      </c>
    </row>
    <row r="73" spans="1:5">
      <c r="A73" s="2" t="s">
        <v>693</v>
      </c>
      <c r="B73" s="2">
        <v>1</v>
      </c>
      <c r="C73" s="5">
        <f t="shared" si="0"/>
        <v>2.7027027027027029E-2</v>
      </c>
      <c r="D73" t="s">
        <v>998</v>
      </c>
      <c r="E73" s="5" t="s">
        <v>1323</v>
      </c>
    </row>
    <row r="74" spans="1:5">
      <c r="A74" s="2" t="s">
        <v>748</v>
      </c>
      <c r="B74" s="2">
        <v>1</v>
      </c>
      <c r="C74" s="5">
        <f t="shared" si="0"/>
        <v>2.7027027027027029E-2</v>
      </c>
      <c r="D74" t="s">
        <v>999</v>
      </c>
      <c r="E74" s="5" t="s">
        <v>1324</v>
      </c>
    </row>
    <row r="75" spans="1:5">
      <c r="A75" s="2" t="s">
        <v>749</v>
      </c>
      <c r="B75" s="2">
        <v>1</v>
      </c>
      <c r="C75" s="5">
        <f t="shared" si="0"/>
        <v>2.7027027027027029E-2</v>
      </c>
      <c r="D75" t="s">
        <v>1000</v>
      </c>
      <c r="E75" s="5" t="s">
        <v>1325</v>
      </c>
    </row>
    <row r="76" spans="1:5">
      <c r="A76" s="2" t="s">
        <v>697</v>
      </c>
      <c r="B76" s="2">
        <v>1</v>
      </c>
      <c r="C76" s="5">
        <f t="shared" si="0"/>
        <v>2.7027027027027029E-2</v>
      </c>
      <c r="D76" t="s">
        <v>1001</v>
      </c>
      <c r="E76" s="5" t="s">
        <v>1326</v>
      </c>
    </row>
    <row r="77" spans="1:5">
      <c r="A77" s="2" t="s">
        <v>681</v>
      </c>
      <c r="B77" s="2">
        <v>1</v>
      </c>
      <c r="C77" s="5">
        <f t="shared" si="0"/>
        <v>2.7027027027027029E-2</v>
      </c>
      <c r="D77" t="s">
        <v>1002</v>
      </c>
      <c r="E77" s="5" t="s">
        <v>1327</v>
      </c>
    </row>
    <row r="78" spans="1:5">
      <c r="A78" s="2" t="s">
        <v>698</v>
      </c>
      <c r="B78" s="2">
        <v>1</v>
      </c>
      <c r="C78" s="5">
        <f t="shared" si="0"/>
        <v>2.7027027027027029E-2</v>
      </c>
      <c r="D78" t="s">
        <v>1003</v>
      </c>
      <c r="E78" s="5" t="s">
        <v>1328</v>
      </c>
    </row>
    <row r="79" spans="1:5">
      <c r="A79" s="2" t="s">
        <v>699</v>
      </c>
      <c r="B79" s="2">
        <v>1</v>
      </c>
      <c r="C79" s="5">
        <f t="shared" si="0"/>
        <v>2.7027027027027029E-2</v>
      </c>
      <c r="D79" t="s">
        <v>1004</v>
      </c>
      <c r="E79" s="5" t="s">
        <v>1329</v>
      </c>
    </row>
    <row r="80" spans="1:5">
      <c r="A80" s="2" t="s">
        <v>750</v>
      </c>
      <c r="B80" s="2">
        <v>1</v>
      </c>
      <c r="C80" s="5">
        <f t="shared" si="0"/>
        <v>2.7027027027027029E-2</v>
      </c>
      <c r="D80" t="s">
        <v>1005</v>
      </c>
      <c r="E80" s="5" t="s">
        <v>1330</v>
      </c>
    </row>
    <row r="81" spans="1:5">
      <c r="A81" s="2"/>
      <c r="B81" s="2"/>
      <c r="C81" s="2"/>
      <c r="D81"/>
      <c r="E81" s="5"/>
    </row>
    <row r="82" spans="1:5" ht="15">
      <c r="A82" s="25" t="s">
        <v>1287</v>
      </c>
      <c r="B82" s="24" t="s">
        <v>653</v>
      </c>
      <c r="C82" s="24" t="s">
        <v>980</v>
      </c>
      <c r="D82" s="24" t="s">
        <v>1305</v>
      </c>
      <c r="E82" s="24" t="s">
        <v>1304</v>
      </c>
    </row>
    <row r="83" spans="1:5">
      <c r="A83" s="2" t="s">
        <v>51</v>
      </c>
      <c r="B83" s="2">
        <v>100</v>
      </c>
      <c r="C83" s="8">
        <f t="shared" ref="C83:C114" si="1">B83/119</f>
        <v>0.84033613445378152</v>
      </c>
      <c r="D83" t="s">
        <v>1007</v>
      </c>
      <c r="E83" s="5" t="s">
        <v>1331</v>
      </c>
    </row>
    <row r="84" spans="1:5">
      <c r="A84" s="3" t="s">
        <v>771</v>
      </c>
      <c r="B84" s="3">
        <v>70</v>
      </c>
      <c r="C84" s="8">
        <f t="shared" si="1"/>
        <v>0.58823529411764708</v>
      </c>
      <c r="D84" t="s">
        <v>1008</v>
      </c>
      <c r="E84" s="5" t="s">
        <v>1332</v>
      </c>
    </row>
    <row r="85" spans="1:5">
      <c r="A85" s="3" t="s">
        <v>695</v>
      </c>
      <c r="B85" s="3">
        <v>56</v>
      </c>
      <c r="C85" s="8">
        <f t="shared" si="1"/>
        <v>0.47058823529411764</v>
      </c>
      <c r="D85" t="s">
        <v>991</v>
      </c>
      <c r="E85" s="5" t="s">
        <v>1315</v>
      </c>
    </row>
    <row r="86" spans="1:5">
      <c r="A86" s="2" t="s">
        <v>700</v>
      </c>
      <c r="B86" s="2">
        <v>54</v>
      </c>
      <c r="C86" s="8">
        <f t="shared" si="1"/>
        <v>0.45378151260504201</v>
      </c>
      <c r="D86" t="s">
        <v>986</v>
      </c>
      <c r="E86" s="5" t="s">
        <v>1310</v>
      </c>
    </row>
    <row r="87" spans="1:5">
      <c r="A87" s="2" t="s">
        <v>761</v>
      </c>
      <c r="B87" s="2">
        <v>50</v>
      </c>
      <c r="C87" s="8">
        <f t="shared" si="1"/>
        <v>0.42016806722689076</v>
      </c>
      <c r="D87" t="s">
        <v>1010</v>
      </c>
      <c r="E87" s="5" t="s">
        <v>1333</v>
      </c>
    </row>
    <row r="88" spans="1:5">
      <c r="A88" s="3" t="s">
        <v>693</v>
      </c>
      <c r="B88" s="3">
        <v>50</v>
      </c>
      <c r="C88" s="8">
        <f t="shared" si="1"/>
        <v>0.42016806722689076</v>
      </c>
      <c r="D88" t="s">
        <v>998</v>
      </c>
      <c r="E88" s="5" t="s">
        <v>1323</v>
      </c>
    </row>
    <row r="89" spans="1:5">
      <c r="A89" s="3" t="s">
        <v>709</v>
      </c>
      <c r="B89" s="3">
        <v>47</v>
      </c>
      <c r="C89" s="8">
        <f t="shared" si="1"/>
        <v>0.3949579831932773</v>
      </c>
      <c r="D89" t="s">
        <v>1009</v>
      </c>
      <c r="E89" s="5" t="s">
        <v>1334</v>
      </c>
    </row>
    <row r="90" spans="1:5">
      <c r="A90" s="2" t="s">
        <v>689</v>
      </c>
      <c r="B90" s="2">
        <v>46</v>
      </c>
      <c r="C90" s="8">
        <f t="shared" si="1"/>
        <v>0.38655462184873951</v>
      </c>
      <c r="D90" t="s">
        <v>985</v>
      </c>
      <c r="E90" s="5" t="s">
        <v>1309</v>
      </c>
    </row>
    <row r="91" spans="1:5">
      <c r="A91" s="3" t="s">
        <v>701</v>
      </c>
      <c r="B91" s="3">
        <v>45</v>
      </c>
      <c r="C91" s="8">
        <f t="shared" si="1"/>
        <v>0.37815126050420167</v>
      </c>
      <c r="D91" t="s">
        <v>989</v>
      </c>
      <c r="E91" s="5" t="s">
        <v>1313</v>
      </c>
    </row>
    <row r="92" spans="1:5">
      <c r="A92" s="2" t="s">
        <v>691</v>
      </c>
      <c r="B92" s="2">
        <v>41</v>
      </c>
      <c r="C92" s="8">
        <f t="shared" si="1"/>
        <v>0.34453781512605042</v>
      </c>
      <c r="D92" t="s">
        <v>988</v>
      </c>
      <c r="E92" s="5" t="s">
        <v>1312</v>
      </c>
    </row>
    <row r="93" spans="1:5">
      <c r="A93" s="3" t="s">
        <v>690</v>
      </c>
      <c r="B93" s="3">
        <v>39</v>
      </c>
      <c r="C93" s="8">
        <f t="shared" si="1"/>
        <v>0.32773109243697479</v>
      </c>
      <c r="D93" t="s">
        <v>987</v>
      </c>
      <c r="E93" s="5" t="s">
        <v>1311</v>
      </c>
    </row>
    <row r="94" spans="1:5">
      <c r="A94" s="3" t="s">
        <v>711</v>
      </c>
      <c r="B94" s="3">
        <v>36</v>
      </c>
      <c r="C94" s="8">
        <f t="shared" si="1"/>
        <v>0.30252100840336132</v>
      </c>
      <c r="D94" t="s">
        <v>1011</v>
      </c>
      <c r="E94" s="5" t="s">
        <v>1335</v>
      </c>
    </row>
    <row r="95" spans="1:5">
      <c r="A95" s="2" t="s">
        <v>718</v>
      </c>
      <c r="B95" s="2">
        <v>35</v>
      </c>
      <c r="C95" s="8">
        <f t="shared" si="1"/>
        <v>0.29411764705882354</v>
      </c>
      <c r="D95" t="s">
        <v>1012</v>
      </c>
      <c r="E95" s="5" t="s">
        <v>1336</v>
      </c>
    </row>
    <row r="96" spans="1:5">
      <c r="A96" s="2" t="s">
        <v>717</v>
      </c>
      <c r="B96" s="2">
        <v>32</v>
      </c>
      <c r="C96" s="8">
        <f t="shared" si="1"/>
        <v>0.26890756302521007</v>
      </c>
      <c r="D96" t="s">
        <v>1014</v>
      </c>
      <c r="E96" s="5" t="s">
        <v>1337</v>
      </c>
    </row>
    <row r="97" spans="1:5">
      <c r="A97" s="2" t="s">
        <v>708</v>
      </c>
      <c r="B97" s="2">
        <v>32</v>
      </c>
      <c r="C97" s="8">
        <f t="shared" si="1"/>
        <v>0.26890756302521007</v>
      </c>
      <c r="D97" t="s">
        <v>1013</v>
      </c>
      <c r="E97" s="5" t="s">
        <v>1338</v>
      </c>
    </row>
    <row r="98" spans="1:5">
      <c r="A98" s="3" t="s">
        <v>773</v>
      </c>
      <c r="B98" s="3">
        <v>32</v>
      </c>
      <c r="C98" s="8">
        <f t="shared" si="1"/>
        <v>0.26890756302521007</v>
      </c>
      <c r="D98" t="s">
        <v>1015</v>
      </c>
      <c r="E98" s="5" t="s">
        <v>1339</v>
      </c>
    </row>
    <row r="99" spans="1:5">
      <c r="A99" s="3" t="s">
        <v>702</v>
      </c>
      <c r="B99" s="3">
        <v>31</v>
      </c>
      <c r="C99" s="8">
        <f t="shared" si="1"/>
        <v>0.26050420168067229</v>
      </c>
      <c r="D99" t="s">
        <v>990</v>
      </c>
      <c r="E99" s="5" t="s">
        <v>1314</v>
      </c>
    </row>
    <row r="100" spans="1:5">
      <c r="A100" s="3" t="s">
        <v>782</v>
      </c>
      <c r="B100" s="3">
        <v>29</v>
      </c>
      <c r="C100" s="8">
        <f t="shared" si="1"/>
        <v>0.24369747899159663</v>
      </c>
      <c r="D100" t="s">
        <v>1016</v>
      </c>
      <c r="E100" s="5" t="s">
        <v>1340</v>
      </c>
    </row>
    <row r="101" spans="1:5">
      <c r="A101" s="3" t="s">
        <v>696</v>
      </c>
      <c r="B101" s="3">
        <v>28</v>
      </c>
      <c r="C101" s="8">
        <f t="shared" si="1"/>
        <v>0.23529411764705882</v>
      </c>
      <c r="D101" t="s">
        <v>994</v>
      </c>
      <c r="E101" s="5" t="s">
        <v>1316</v>
      </c>
    </row>
    <row r="102" spans="1:5">
      <c r="A102" s="3" t="s">
        <v>774</v>
      </c>
      <c r="B102" s="3">
        <v>27</v>
      </c>
      <c r="C102" s="8">
        <f t="shared" si="1"/>
        <v>0.22689075630252101</v>
      </c>
      <c r="D102" t="s">
        <v>1017</v>
      </c>
      <c r="E102" s="5" t="s">
        <v>1341</v>
      </c>
    </row>
    <row r="103" spans="1:5">
      <c r="A103" s="3" t="s">
        <v>719</v>
      </c>
      <c r="B103" s="3">
        <v>26</v>
      </c>
      <c r="C103" s="8">
        <f t="shared" si="1"/>
        <v>0.21848739495798319</v>
      </c>
      <c r="D103" t="s">
        <v>1018</v>
      </c>
      <c r="E103" s="5" t="s">
        <v>1342</v>
      </c>
    </row>
    <row r="104" spans="1:5">
      <c r="A104" s="2" t="s">
        <v>750</v>
      </c>
      <c r="B104" s="2">
        <v>25</v>
      </c>
      <c r="C104" s="8">
        <f t="shared" si="1"/>
        <v>0.21008403361344538</v>
      </c>
      <c r="D104" t="s">
        <v>1005</v>
      </c>
      <c r="E104" s="5" t="s">
        <v>1330</v>
      </c>
    </row>
    <row r="105" spans="1:5">
      <c r="A105" s="2" t="s">
        <v>753</v>
      </c>
      <c r="B105" s="2">
        <v>25</v>
      </c>
      <c r="C105" s="8">
        <f t="shared" si="1"/>
        <v>0.21008403361344538</v>
      </c>
      <c r="D105" t="s">
        <v>1022</v>
      </c>
      <c r="E105" s="5" t="s">
        <v>1343</v>
      </c>
    </row>
    <row r="106" spans="1:5">
      <c r="A106" s="3" t="s">
        <v>697</v>
      </c>
      <c r="B106" s="3">
        <v>25</v>
      </c>
      <c r="C106" s="8">
        <f t="shared" si="1"/>
        <v>0.21008403361344538</v>
      </c>
      <c r="D106" t="s">
        <v>1001</v>
      </c>
      <c r="E106" s="5" t="s">
        <v>1326</v>
      </c>
    </row>
    <row r="107" spans="1:5">
      <c r="A107" s="3" t="s">
        <v>720</v>
      </c>
      <c r="B107" s="3">
        <v>24</v>
      </c>
      <c r="C107" s="8">
        <f t="shared" si="1"/>
        <v>0.20168067226890757</v>
      </c>
      <c r="D107" t="s">
        <v>1020</v>
      </c>
      <c r="E107" s="5" t="s">
        <v>1344</v>
      </c>
    </row>
    <row r="108" spans="1:5">
      <c r="A108" s="3" t="s">
        <v>775</v>
      </c>
      <c r="B108" s="3">
        <v>24</v>
      </c>
      <c r="C108" s="8">
        <f t="shared" si="1"/>
        <v>0.20168067226890757</v>
      </c>
      <c r="D108" t="s">
        <v>1021</v>
      </c>
      <c r="E108" s="5" t="s">
        <v>1345</v>
      </c>
    </row>
    <row r="109" spans="1:5">
      <c r="A109" s="3" t="s">
        <v>777</v>
      </c>
      <c r="B109" s="3">
        <v>23</v>
      </c>
      <c r="C109" s="8">
        <f t="shared" si="1"/>
        <v>0.19327731092436976</v>
      </c>
      <c r="D109" t="s">
        <v>1019</v>
      </c>
      <c r="E109" s="5" t="s">
        <v>1346</v>
      </c>
    </row>
    <row r="110" spans="1:5">
      <c r="A110" s="3" t="s">
        <v>721</v>
      </c>
      <c r="B110" s="3">
        <v>22</v>
      </c>
      <c r="C110" s="8">
        <f t="shared" si="1"/>
        <v>0.18487394957983194</v>
      </c>
      <c r="D110" t="s">
        <v>1023</v>
      </c>
      <c r="E110" s="5" t="s">
        <v>1347</v>
      </c>
    </row>
    <row r="111" spans="1:5">
      <c r="A111" s="2" t="s">
        <v>772</v>
      </c>
      <c r="B111" s="2">
        <v>16</v>
      </c>
      <c r="C111" s="8">
        <f t="shared" si="1"/>
        <v>0.13445378151260504</v>
      </c>
      <c r="D111" t="s">
        <v>1024</v>
      </c>
      <c r="E111" s="5" t="s">
        <v>1348</v>
      </c>
    </row>
    <row r="112" spans="1:5">
      <c r="A112" s="3" t="s">
        <v>686</v>
      </c>
      <c r="B112" s="3">
        <v>15</v>
      </c>
      <c r="C112" s="8">
        <f t="shared" si="1"/>
        <v>0.12605042016806722</v>
      </c>
      <c r="D112" t="s">
        <v>982</v>
      </c>
      <c r="E112" s="5" t="s">
        <v>1306</v>
      </c>
    </row>
    <row r="113" spans="1:5">
      <c r="A113" s="2" t="s">
        <v>687</v>
      </c>
      <c r="B113" s="2">
        <v>14</v>
      </c>
      <c r="C113" s="8">
        <f t="shared" si="1"/>
        <v>0.11764705882352941</v>
      </c>
      <c r="D113" t="s">
        <v>983</v>
      </c>
      <c r="E113" s="5" t="s">
        <v>1307</v>
      </c>
    </row>
    <row r="114" spans="1:5">
      <c r="A114" s="2" t="s">
        <v>752</v>
      </c>
      <c r="B114" s="2">
        <v>12</v>
      </c>
      <c r="C114" s="8">
        <f t="shared" si="1"/>
        <v>0.10084033613445378</v>
      </c>
      <c r="D114" t="s">
        <v>1027</v>
      </c>
      <c r="E114" s="5" t="s">
        <v>1349</v>
      </c>
    </row>
    <row r="115" spans="1:5">
      <c r="A115" s="3" t="s">
        <v>745</v>
      </c>
      <c r="B115" s="3">
        <v>12</v>
      </c>
      <c r="C115" s="8">
        <f t="shared" ref="C115:C146" si="2">B115/119</f>
        <v>0.10084033613445378</v>
      </c>
      <c r="D115" t="s">
        <v>1025</v>
      </c>
      <c r="E115" s="5" t="s">
        <v>1350</v>
      </c>
    </row>
    <row r="116" spans="1:5">
      <c r="A116" s="2" t="s">
        <v>784</v>
      </c>
      <c r="B116" s="2">
        <v>12</v>
      </c>
      <c r="C116" s="8">
        <f t="shared" si="2"/>
        <v>0.10084033613445378</v>
      </c>
      <c r="D116" t="s">
        <v>1026</v>
      </c>
      <c r="E116" s="5" t="s">
        <v>1351</v>
      </c>
    </row>
    <row r="117" spans="1:5">
      <c r="A117" s="3" t="s">
        <v>692</v>
      </c>
      <c r="B117" s="3">
        <v>10</v>
      </c>
      <c r="C117" s="8">
        <f t="shared" si="2"/>
        <v>8.4033613445378158E-2</v>
      </c>
      <c r="D117" t="s">
        <v>984</v>
      </c>
      <c r="E117" s="5" t="s">
        <v>1308</v>
      </c>
    </row>
    <row r="118" spans="1:5">
      <c r="A118" s="3" t="s">
        <v>783</v>
      </c>
      <c r="B118" s="3">
        <v>10</v>
      </c>
      <c r="C118" s="8">
        <f t="shared" si="2"/>
        <v>8.4033613445378158E-2</v>
      </c>
      <c r="D118" t="s">
        <v>1029</v>
      </c>
      <c r="E118" s="5" t="s">
        <v>1352</v>
      </c>
    </row>
    <row r="119" spans="1:5">
      <c r="A119" s="3" t="s">
        <v>760</v>
      </c>
      <c r="B119" s="3">
        <v>9</v>
      </c>
      <c r="C119" s="8">
        <f t="shared" si="2"/>
        <v>7.5630252100840331E-2</v>
      </c>
      <c r="D119" t="s">
        <v>1030</v>
      </c>
      <c r="E119" s="5" t="s">
        <v>1353</v>
      </c>
    </row>
    <row r="120" spans="1:5">
      <c r="A120" s="3" t="s">
        <v>762</v>
      </c>
      <c r="B120" s="3">
        <v>9</v>
      </c>
      <c r="C120" s="8">
        <f t="shared" si="2"/>
        <v>7.5630252100840331E-2</v>
      </c>
      <c r="D120" t="s">
        <v>1031</v>
      </c>
      <c r="E120" s="5" t="s">
        <v>1354</v>
      </c>
    </row>
    <row r="121" spans="1:5">
      <c r="A121" s="3" t="s">
        <v>722</v>
      </c>
      <c r="B121" s="3">
        <v>9</v>
      </c>
      <c r="C121" s="8">
        <f t="shared" si="2"/>
        <v>7.5630252100840331E-2</v>
      </c>
      <c r="D121" t="s">
        <v>1028</v>
      </c>
      <c r="E121" s="5" t="s">
        <v>1355</v>
      </c>
    </row>
    <row r="122" spans="1:5">
      <c r="A122" s="2" t="s">
        <v>778</v>
      </c>
      <c r="B122" s="2">
        <v>9</v>
      </c>
      <c r="C122" s="8">
        <f t="shared" si="2"/>
        <v>7.5630252100840331E-2</v>
      </c>
      <c r="D122" t="s">
        <v>1034</v>
      </c>
      <c r="E122" s="5" t="s">
        <v>1356</v>
      </c>
    </row>
    <row r="123" spans="1:5">
      <c r="A123" s="3" t="s">
        <v>766</v>
      </c>
      <c r="B123" s="3">
        <v>8</v>
      </c>
      <c r="C123" s="8">
        <f t="shared" si="2"/>
        <v>6.7226890756302518E-2</v>
      </c>
      <c r="D123" t="s">
        <v>1032</v>
      </c>
      <c r="E123" s="5" t="s">
        <v>1357</v>
      </c>
    </row>
    <row r="124" spans="1:5">
      <c r="A124" s="2" t="s">
        <v>725</v>
      </c>
      <c r="B124" s="2">
        <v>8</v>
      </c>
      <c r="C124" s="8">
        <f t="shared" si="2"/>
        <v>6.7226890756302518E-2</v>
      </c>
      <c r="D124" t="s">
        <v>1033</v>
      </c>
      <c r="E124" s="5" t="s">
        <v>1358</v>
      </c>
    </row>
    <row r="125" spans="1:5">
      <c r="A125" s="2" t="s">
        <v>779</v>
      </c>
      <c r="B125" s="2">
        <v>8</v>
      </c>
      <c r="C125" s="8">
        <f t="shared" si="2"/>
        <v>6.7226890756302518E-2</v>
      </c>
      <c r="D125" t="s">
        <v>1036</v>
      </c>
      <c r="E125" s="5" t="s">
        <v>1359</v>
      </c>
    </row>
    <row r="126" spans="1:5">
      <c r="A126" s="2" t="s">
        <v>780</v>
      </c>
      <c r="B126" s="2">
        <v>8</v>
      </c>
      <c r="C126" s="8">
        <f t="shared" si="2"/>
        <v>6.7226890756302518E-2</v>
      </c>
      <c r="D126" t="s">
        <v>1037</v>
      </c>
      <c r="E126" s="5" t="s">
        <v>1360</v>
      </c>
    </row>
    <row r="127" spans="1:5">
      <c r="A127" s="3" t="s">
        <v>781</v>
      </c>
      <c r="B127" s="3">
        <v>8</v>
      </c>
      <c r="C127" s="8">
        <f t="shared" si="2"/>
        <v>6.7226890756302518E-2</v>
      </c>
      <c r="D127" t="s">
        <v>1038</v>
      </c>
      <c r="E127" s="5" t="s">
        <v>1361</v>
      </c>
    </row>
    <row r="128" spans="1:5">
      <c r="A128" s="2" t="s">
        <v>769</v>
      </c>
      <c r="B128" s="2">
        <v>7</v>
      </c>
      <c r="C128" s="8">
        <f t="shared" si="2"/>
        <v>5.8823529411764705E-2</v>
      </c>
      <c r="D128" t="s">
        <v>1035</v>
      </c>
      <c r="E128" s="5" t="s">
        <v>1362</v>
      </c>
    </row>
    <row r="129" spans="1:5">
      <c r="A129" s="3" t="s">
        <v>788</v>
      </c>
      <c r="B129" s="3">
        <v>7</v>
      </c>
      <c r="C129" s="8">
        <f t="shared" si="2"/>
        <v>5.8823529411764705E-2</v>
      </c>
      <c r="D129" t="s">
        <v>1044</v>
      </c>
      <c r="E129" s="5" t="s">
        <v>1363</v>
      </c>
    </row>
    <row r="130" spans="1:5">
      <c r="A130" s="3" t="s">
        <v>694</v>
      </c>
      <c r="B130" s="3">
        <v>7</v>
      </c>
      <c r="C130" s="8">
        <f t="shared" si="2"/>
        <v>5.8823529411764705E-2</v>
      </c>
      <c r="D130" t="s">
        <v>993</v>
      </c>
      <c r="E130" s="5" t="s">
        <v>1319</v>
      </c>
    </row>
    <row r="131" spans="1:5">
      <c r="A131" s="3" t="s">
        <v>767</v>
      </c>
      <c r="B131" s="3">
        <v>6</v>
      </c>
      <c r="C131" s="8">
        <f t="shared" si="2"/>
        <v>5.0420168067226892E-2</v>
      </c>
      <c r="D131" t="s">
        <v>1039</v>
      </c>
      <c r="E131" s="5" t="s">
        <v>1364</v>
      </c>
    </row>
    <row r="132" spans="1:5">
      <c r="A132" s="3" t="s">
        <v>768</v>
      </c>
      <c r="B132" s="3">
        <v>6</v>
      </c>
      <c r="C132" s="8">
        <f t="shared" si="2"/>
        <v>5.0420168067226892E-2</v>
      </c>
      <c r="D132" t="s">
        <v>1040</v>
      </c>
      <c r="E132" s="5" t="s">
        <v>1365</v>
      </c>
    </row>
    <row r="133" spans="1:5">
      <c r="A133" s="3" t="s">
        <v>770</v>
      </c>
      <c r="B133" s="3">
        <v>6</v>
      </c>
      <c r="C133" s="8">
        <f t="shared" si="2"/>
        <v>5.0420168067226892E-2</v>
      </c>
      <c r="D133" t="s">
        <v>1041</v>
      </c>
      <c r="E133" s="5" t="s">
        <v>1366</v>
      </c>
    </row>
    <row r="134" spans="1:5">
      <c r="A134" s="2" t="s">
        <v>792</v>
      </c>
      <c r="B134" s="2">
        <v>6</v>
      </c>
      <c r="C134" s="8">
        <f t="shared" si="2"/>
        <v>5.0420168067226892E-2</v>
      </c>
      <c r="D134" t="s">
        <v>1050</v>
      </c>
      <c r="E134" s="5" t="s">
        <v>1367</v>
      </c>
    </row>
    <row r="135" spans="1:5">
      <c r="A135" s="3" t="s">
        <v>793</v>
      </c>
      <c r="B135" s="3">
        <v>6</v>
      </c>
      <c r="C135" s="8">
        <f t="shared" si="2"/>
        <v>5.0420168067226892E-2</v>
      </c>
      <c r="D135" t="s">
        <v>1045</v>
      </c>
      <c r="E135" s="5" t="s">
        <v>1368</v>
      </c>
    </row>
    <row r="136" spans="1:5">
      <c r="A136" s="3" t="s">
        <v>765</v>
      </c>
      <c r="B136" s="3">
        <v>5</v>
      </c>
      <c r="C136" s="8">
        <f t="shared" si="2"/>
        <v>4.2016806722689079E-2</v>
      </c>
      <c r="D136" t="s">
        <v>1042</v>
      </c>
      <c r="E136" s="5" t="s">
        <v>1369</v>
      </c>
    </row>
    <row r="137" spans="1:5">
      <c r="A137" s="2" t="s">
        <v>728</v>
      </c>
      <c r="B137" s="2">
        <v>5</v>
      </c>
      <c r="C137" s="8">
        <f t="shared" si="2"/>
        <v>4.2016806722689079E-2</v>
      </c>
      <c r="D137" t="s">
        <v>1043</v>
      </c>
      <c r="E137" s="5" t="s">
        <v>1370</v>
      </c>
    </row>
    <row r="138" spans="1:5">
      <c r="A138" s="2" t="s">
        <v>744</v>
      </c>
      <c r="B138" s="2">
        <v>4</v>
      </c>
      <c r="C138" s="8">
        <f t="shared" si="2"/>
        <v>3.3613445378151259E-2</v>
      </c>
      <c r="D138" t="s">
        <v>996</v>
      </c>
      <c r="E138" s="5" t="s">
        <v>1321</v>
      </c>
    </row>
    <row r="139" spans="1:5">
      <c r="A139" s="2" t="s">
        <v>756</v>
      </c>
      <c r="B139" s="2">
        <v>4</v>
      </c>
      <c r="C139" s="8">
        <f t="shared" si="2"/>
        <v>3.3613445378151259E-2</v>
      </c>
      <c r="D139" t="s">
        <v>1046</v>
      </c>
      <c r="E139" s="5" t="s">
        <v>1371</v>
      </c>
    </row>
    <row r="140" spans="1:5">
      <c r="A140" s="2" t="s">
        <v>757</v>
      </c>
      <c r="B140" s="2">
        <v>4</v>
      </c>
      <c r="C140" s="8">
        <f t="shared" si="2"/>
        <v>3.3613445378151259E-2</v>
      </c>
      <c r="D140" t="s">
        <v>1047</v>
      </c>
      <c r="E140" s="5" t="s">
        <v>1372</v>
      </c>
    </row>
    <row r="141" spans="1:5">
      <c r="A141" s="3" t="s">
        <v>776</v>
      </c>
      <c r="B141" s="3">
        <v>4</v>
      </c>
      <c r="C141" s="8">
        <f t="shared" si="2"/>
        <v>3.3613445378151259E-2</v>
      </c>
      <c r="D141" t="s">
        <v>1048</v>
      </c>
      <c r="E141" s="5" t="s">
        <v>1373</v>
      </c>
    </row>
    <row r="142" spans="1:5">
      <c r="A142" s="3" t="s">
        <v>739</v>
      </c>
      <c r="B142" s="3">
        <v>4</v>
      </c>
      <c r="C142" s="8">
        <f t="shared" si="2"/>
        <v>3.3613445378151259E-2</v>
      </c>
      <c r="D142" t="s">
        <v>1049</v>
      </c>
      <c r="E142" s="5" t="s">
        <v>1374</v>
      </c>
    </row>
    <row r="143" spans="1:5">
      <c r="A143" s="2" t="s">
        <v>787</v>
      </c>
      <c r="B143" s="2">
        <v>3</v>
      </c>
      <c r="C143" s="8">
        <f t="shared" si="2"/>
        <v>2.5210084033613446E-2</v>
      </c>
      <c r="D143" t="s">
        <v>1059</v>
      </c>
      <c r="E143" s="5" t="s">
        <v>1375</v>
      </c>
    </row>
    <row r="144" spans="1:5">
      <c r="A144" s="3" t="s">
        <v>729</v>
      </c>
      <c r="B144" s="3">
        <v>3</v>
      </c>
      <c r="C144" s="8">
        <f t="shared" si="2"/>
        <v>2.5210084033613446E-2</v>
      </c>
      <c r="D144" t="s">
        <v>1051</v>
      </c>
      <c r="E144" s="5" t="s">
        <v>1376</v>
      </c>
    </row>
    <row r="145" spans="1:5">
      <c r="A145" s="3" t="s">
        <v>730</v>
      </c>
      <c r="B145" s="3">
        <v>3</v>
      </c>
      <c r="C145" s="8">
        <f t="shared" si="2"/>
        <v>2.5210084033613446E-2</v>
      </c>
      <c r="D145" t="s">
        <v>1052</v>
      </c>
      <c r="E145" s="5" t="s">
        <v>1377</v>
      </c>
    </row>
    <row r="146" spans="1:5">
      <c r="A146" s="3" t="s">
        <v>732</v>
      </c>
      <c r="B146" s="3">
        <v>3</v>
      </c>
      <c r="C146" s="8">
        <f t="shared" si="2"/>
        <v>2.5210084033613446E-2</v>
      </c>
      <c r="D146" t="s">
        <v>1053</v>
      </c>
      <c r="E146" s="5" t="s">
        <v>1378</v>
      </c>
    </row>
    <row r="147" spans="1:5">
      <c r="A147" s="2" t="s">
        <v>740</v>
      </c>
      <c r="B147" s="2">
        <v>3</v>
      </c>
      <c r="C147" s="8">
        <f t="shared" ref="C147:C178" si="3">B147/119</f>
        <v>2.5210084033613446E-2</v>
      </c>
      <c r="D147" t="s">
        <v>1054</v>
      </c>
      <c r="E147" s="5" t="s">
        <v>1379</v>
      </c>
    </row>
    <row r="148" spans="1:5">
      <c r="A148" s="2" t="s">
        <v>741</v>
      </c>
      <c r="B148" s="2">
        <v>3</v>
      </c>
      <c r="C148" s="8">
        <f t="shared" si="3"/>
        <v>2.5210084033613446E-2</v>
      </c>
      <c r="D148" t="s">
        <v>1055</v>
      </c>
      <c r="E148" s="5" t="s">
        <v>1380</v>
      </c>
    </row>
    <row r="149" spans="1:5">
      <c r="A149" s="2" t="s">
        <v>734</v>
      </c>
      <c r="B149" s="2">
        <v>3</v>
      </c>
      <c r="C149" s="8">
        <f t="shared" si="3"/>
        <v>2.5210084033613446E-2</v>
      </c>
      <c r="D149" t="s">
        <v>1056</v>
      </c>
      <c r="E149" s="5" t="s">
        <v>1381</v>
      </c>
    </row>
    <row r="150" spans="1:5">
      <c r="A150" s="3" t="s">
        <v>759</v>
      </c>
      <c r="B150" s="3">
        <v>2</v>
      </c>
      <c r="C150" s="8">
        <f t="shared" si="3"/>
        <v>1.680672268907563E-2</v>
      </c>
      <c r="D150" t="s">
        <v>1057</v>
      </c>
      <c r="E150" s="5" t="s">
        <v>1382</v>
      </c>
    </row>
    <row r="151" spans="1:5">
      <c r="A151" s="3" t="s">
        <v>785</v>
      </c>
      <c r="B151" s="3">
        <v>2</v>
      </c>
      <c r="C151" s="8">
        <f t="shared" si="3"/>
        <v>1.680672268907563E-2</v>
      </c>
      <c r="D151" t="s">
        <v>1058</v>
      </c>
      <c r="E151" s="5" t="s">
        <v>1383</v>
      </c>
    </row>
    <row r="152" spans="1:5">
      <c r="A152" s="3" t="s">
        <v>731</v>
      </c>
      <c r="B152" s="3">
        <v>2</v>
      </c>
      <c r="C152" s="8">
        <f t="shared" si="3"/>
        <v>1.680672268907563E-2</v>
      </c>
      <c r="D152" t="s">
        <v>1060</v>
      </c>
      <c r="E152" s="5" t="s">
        <v>1384</v>
      </c>
    </row>
    <row r="153" spans="1:5">
      <c r="A153" s="3" t="s">
        <v>733</v>
      </c>
      <c r="B153" s="3">
        <v>2</v>
      </c>
      <c r="C153" s="8">
        <f t="shared" si="3"/>
        <v>1.680672268907563E-2</v>
      </c>
      <c r="D153" t="s">
        <v>1061</v>
      </c>
      <c r="E153" s="5" t="s">
        <v>1385</v>
      </c>
    </row>
    <row r="154" spans="1:5">
      <c r="A154" s="3" t="s">
        <v>735</v>
      </c>
      <c r="B154" s="3">
        <v>2</v>
      </c>
      <c r="C154" s="8">
        <f t="shared" si="3"/>
        <v>1.680672268907563E-2</v>
      </c>
      <c r="D154" t="s">
        <v>1062</v>
      </c>
      <c r="E154" s="5" t="s">
        <v>1386</v>
      </c>
    </row>
    <row r="155" spans="1:5">
      <c r="A155" s="3" t="s">
        <v>736</v>
      </c>
      <c r="B155" s="3">
        <v>2</v>
      </c>
      <c r="C155" s="8">
        <f t="shared" si="3"/>
        <v>1.680672268907563E-2</v>
      </c>
      <c r="D155" t="s">
        <v>1063</v>
      </c>
      <c r="E155" s="5" t="s">
        <v>1387</v>
      </c>
    </row>
    <row r="156" spans="1:5">
      <c r="A156" s="3" t="s">
        <v>737</v>
      </c>
      <c r="B156" s="3">
        <v>2</v>
      </c>
      <c r="C156" s="8">
        <f t="shared" si="3"/>
        <v>1.680672268907563E-2</v>
      </c>
      <c r="D156" t="s">
        <v>1064</v>
      </c>
      <c r="E156" s="5" t="s">
        <v>1388</v>
      </c>
    </row>
    <row r="157" spans="1:5">
      <c r="A157" s="3" t="s">
        <v>738</v>
      </c>
      <c r="B157" s="3">
        <v>2</v>
      </c>
      <c r="C157" s="8">
        <f t="shared" si="3"/>
        <v>1.680672268907563E-2</v>
      </c>
      <c r="D157" t="s">
        <v>1065</v>
      </c>
      <c r="E157" s="5" t="s">
        <v>1389</v>
      </c>
    </row>
    <row r="158" spans="1:5">
      <c r="A158" s="3" t="s">
        <v>742</v>
      </c>
      <c r="B158" s="3">
        <v>2</v>
      </c>
      <c r="C158" s="8">
        <f t="shared" si="3"/>
        <v>1.680672268907563E-2</v>
      </c>
      <c r="D158" t="s">
        <v>1066</v>
      </c>
      <c r="E158" s="5" t="s">
        <v>1390</v>
      </c>
    </row>
    <row r="159" spans="1:5">
      <c r="A159" s="3" t="s">
        <v>743</v>
      </c>
      <c r="B159" s="3">
        <v>2</v>
      </c>
      <c r="C159" s="8">
        <f t="shared" si="3"/>
        <v>1.680672268907563E-2</v>
      </c>
      <c r="D159" t="s">
        <v>1067</v>
      </c>
      <c r="E159" s="5" t="s">
        <v>1391</v>
      </c>
    </row>
    <row r="160" spans="1:5">
      <c r="A160" s="2" t="s">
        <v>754</v>
      </c>
      <c r="B160" s="2">
        <v>1</v>
      </c>
      <c r="C160" s="8">
        <f t="shared" si="3"/>
        <v>8.4033613445378148E-3</v>
      </c>
      <c r="D160" t="s">
        <v>1068</v>
      </c>
      <c r="E160" s="5" t="s">
        <v>1392</v>
      </c>
    </row>
    <row r="161" spans="1:5">
      <c r="A161" s="2" t="s">
        <v>755</v>
      </c>
      <c r="B161" s="2">
        <v>1</v>
      </c>
      <c r="C161" s="8">
        <f t="shared" si="3"/>
        <v>8.4033613445378148E-3</v>
      </c>
      <c r="D161" s="1" t="s">
        <v>1069</v>
      </c>
      <c r="E161" s="3" t="s">
        <v>1393</v>
      </c>
    </row>
    <row r="162" spans="1:5">
      <c r="A162" s="3" t="s">
        <v>758</v>
      </c>
      <c r="B162" s="3">
        <v>1</v>
      </c>
      <c r="C162" s="8">
        <f t="shared" si="3"/>
        <v>8.4033613445378148E-3</v>
      </c>
      <c r="D162" t="s">
        <v>1070</v>
      </c>
      <c r="E162" s="5" t="s">
        <v>1394</v>
      </c>
    </row>
    <row r="163" spans="1:5">
      <c r="A163" s="3" t="s">
        <v>763</v>
      </c>
      <c r="B163" s="3">
        <v>1</v>
      </c>
      <c r="C163" s="8">
        <f t="shared" si="3"/>
        <v>8.4033613445378148E-3</v>
      </c>
      <c r="D163" t="s">
        <v>1071</v>
      </c>
      <c r="E163" s="5" t="s">
        <v>1395</v>
      </c>
    </row>
    <row r="164" spans="1:5">
      <c r="A164" s="3" t="s">
        <v>764</v>
      </c>
      <c r="B164" s="3">
        <v>1</v>
      </c>
      <c r="C164" s="8">
        <f t="shared" si="3"/>
        <v>8.4033613445378148E-3</v>
      </c>
      <c r="D164" t="s">
        <v>1072</v>
      </c>
      <c r="E164" s="5" t="s">
        <v>1396</v>
      </c>
    </row>
    <row r="165" spans="1:5">
      <c r="A165" s="3" t="s">
        <v>840</v>
      </c>
      <c r="B165" s="3">
        <v>1</v>
      </c>
      <c r="C165" s="8">
        <f t="shared" si="3"/>
        <v>8.4033613445378148E-3</v>
      </c>
      <c r="D165" t="s">
        <v>1141</v>
      </c>
      <c r="E165" s="5" t="s">
        <v>1397</v>
      </c>
    </row>
    <row r="166" spans="1:5">
      <c r="A166" s="3" t="s">
        <v>874</v>
      </c>
      <c r="B166" s="3">
        <v>1</v>
      </c>
      <c r="C166" s="8">
        <f t="shared" si="3"/>
        <v>8.4033613445378148E-3</v>
      </c>
      <c r="D166" t="s">
        <v>1179</v>
      </c>
      <c r="E166" s="5" t="s">
        <v>1398</v>
      </c>
    </row>
    <row r="167" spans="1:5">
      <c r="A167" s="3" t="s">
        <v>957</v>
      </c>
      <c r="B167" s="3">
        <v>1</v>
      </c>
      <c r="C167" s="8">
        <f t="shared" si="3"/>
        <v>8.4033613445378148E-3</v>
      </c>
      <c r="D167" t="s">
        <v>1255</v>
      </c>
      <c r="E167" s="5" t="s">
        <v>1399</v>
      </c>
    </row>
    <row r="168" spans="1:5">
      <c r="A168" s="3" t="s">
        <v>875</v>
      </c>
      <c r="B168" s="3">
        <v>1</v>
      </c>
      <c r="C168" s="8">
        <f t="shared" si="3"/>
        <v>8.4033613445378148E-3</v>
      </c>
      <c r="D168" t="s">
        <v>1145</v>
      </c>
      <c r="E168" s="5" t="s">
        <v>1400</v>
      </c>
    </row>
    <row r="169" spans="1:5">
      <c r="A169" s="3" t="s">
        <v>958</v>
      </c>
      <c r="B169" s="3">
        <v>1</v>
      </c>
      <c r="C169" s="8">
        <f t="shared" si="3"/>
        <v>8.4033613445378148E-3</v>
      </c>
      <c r="D169" t="s">
        <v>1256</v>
      </c>
      <c r="E169" s="5" t="s">
        <v>1401</v>
      </c>
    </row>
    <row r="170" spans="1:5">
      <c r="A170" s="3" t="s">
        <v>870</v>
      </c>
      <c r="B170" s="3">
        <v>1</v>
      </c>
      <c r="C170" s="8">
        <f t="shared" si="3"/>
        <v>8.4033613445378148E-3</v>
      </c>
      <c r="D170" t="s">
        <v>1176</v>
      </c>
      <c r="E170" s="5" t="s">
        <v>1402</v>
      </c>
    </row>
    <row r="171" spans="1:5">
      <c r="A171" s="3" t="s">
        <v>871</v>
      </c>
      <c r="B171" s="3">
        <v>1</v>
      </c>
      <c r="C171" s="8">
        <f t="shared" si="3"/>
        <v>8.4033613445378148E-3</v>
      </c>
      <c r="D171" t="s">
        <v>1177</v>
      </c>
      <c r="E171" s="5" t="s">
        <v>1403</v>
      </c>
    </row>
    <row r="172" spans="1:5">
      <c r="A172" s="3" t="s">
        <v>786</v>
      </c>
      <c r="B172" s="3">
        <v>1</v>
      </c>
      <c r="C172" s="8">
        <f t="shared" si="3"/>
        <v>8.4033613445378148E-3</v>
      </c>
      <c r="D172" t="s">
        <v>1073</v>
      </c>
      <c r="E172" s="5" t="s">
        <v>1404</v>
      </c>
    </row>
    <row r="173" spans="1:5">
      <c r="A173" s="2" t="s">
        <v>723</v>
      </c>
      <c r="B173" s="2">
        <v>1</v>
      </c>
      <c r="C173" s="8">
        <f t="shared" si="3"/>
        <v>8.4033613445378148E-3</v>
      </c>
      <c r="D173" t="s">
        <v>1074</v>
      </c>
      <c r="E173" s="5" t="s">
        <v>1405</v>
      </c>
    </row>
    <row r="174" spans="1:5">
      <c r="A174" s="3" t="s">
        <v>789</v>
      </c>
      <c r="B174" s="3">
        <v>1</v>
      </c>
      <c r="C174" s="8">
        <f t="shared" si="3"/>
        <v>8.4033613445378148E-3</v>
      </c>
      <c r="D174" t="s">
        <v>1075</v>
      </c>
      <c r="E174" s="5" t="s">
        <v>1406</v>
      </c>
    </row>
    <row r="175" spans="1:5">
      <c r="A175" s="3" t="s">
        <v>790</v>
      </c>
      <c r="B175" s="3">
        <v>1</v>
      </c>
      <c r="C175" s="8">
        <f t="shared" si="3"/>
        <v>8.4033613445378148E-3</v>
      </c>
      <c r="D175" t="s">
        <v>1076</v>
      </c>
      <c r="E175" s="5" t="s">
        <v>1407</v>
      </c>
    </row>
    <row r="176" spans="1:5">
      <c r="A176" s="2" t="s">
        <v>791</v>
      </c>
      <c r="B176" s="2">
        <v>1</v>
      </c>
      <c r="C176" s="8">
        <f t="shared" si="3"/>
        <v>8.4033613445378148E-3</v>
      </c>
      <c r="D176" t="s">
        <v>1077</v>
      </c>
      <c r="E176" s="5" t="s">
        <v>1408</v>
      </c>
    </row>
    <row r="177" spans="1:5">
      <c r="A177" s="2" t="s">
        <v>704</v>
      </c>
      <c r="B177" s="2">
        <v>1</v>
      </c>
      <c r="C177" s="8">
        <f t="shared" si="3"/>
        <v>8.4033613445378148E-3</v>
      </c>
      <c r="D177" t="s">
        <v>1078</v>
      </c>
      <c r="E177" s="5" t="s">
        <v>1409</v>
      </c>
    </row>
    <row r="178" spans="1:5">
      <c r="A178" s="2" t="s">
        <v>707</v>
      </c>
      <c r="B178" s="2">
        <v>1</v>
      </c>
      <c r="C178" s="8">
        <f t="shared" si="3"/>
        <v>8.4033613445378148E-3</v>
      </c>
      <c r="D178" t="s">
        <v>1079</v>
      </c>
      <c r="E178" s="5" t="s">
        <v>1410</v>
      </c>
    </row>
    <row r="179" spans="1:5">
      <c r="A179" s="3" t="s">
        <v>794</v>
      </c>
      <c r="B179" s="3">
        <v>1</v>
      </c>
      <c r="C179" s="8">
        <f t="shared" ref="C179:C210" si="4">B179/119</f>
        <v>8.4033613445378148E-3</v>
      </c>
      <c r="D179" t="s">
        <v>1080</v>
      </c>
      <c r="E179" s="5" t="s">
        <v>1411</v>
      </c>
    </row>
    <row r="180" spans="1:5">
      <c r="A180" s="2" t="s">
        <v>854</v>
      </c>
      <c r="B180" s="2">
        <v>1</v>
      </c>
      <c r="C180" s="8">
        <f t="shared" si="4"/>
        <v>8.4033613445378148E-3</v>
      </c>
      <c r="D180" t="s">
        <v>1162</v>
      </c>
      <c r="E180" s="5" t="s">
        <v>1412</v>
      </c>
    </row>
    <row r="181" spans="1:5">
      <c r="A181" s="3" t="s">
        <v>855</v>
      </c>
      <c r="B181" s="3">
        <v>1</v>
      </c>
      <c r="C181" s="8">
        <f t="shared" si="4"/>
        <v>8.4033613445378148E-3</v>
      </c>
      <c r="D181" t="s">
        <v>1143</v>
      </c>
      <c r="E181" s="5" t="s">
        <v>1413</v>
      </c>
    </row>
    <row r="182" spans="1:5">
      <c r="A182" s="3" t="s">
        <v>959</v>
      </c>
      <c r="B182" s="3">
        <v>1</v>
      </c>
      <c r="C182" s="8">
        <f t="shared" si="4"/>
        <v>8.4033613445378148E-3</v>
      </c>
      <c r="D182" t="s">
        <v>1257</v>
      </c>
      <c r="E182" s="5" t="s">
        <v>1414</v>
      </c>
    </row>
    <row r="183" spans="1:5">
      <c r="A183" s="3" t="s">
        <v>866</v>
      </c>
      <c r="B183" s="3">
        <v>1</v>
      </c>
      <c r="C183" s="8">
        <f t="shared" si="4"/>
        <v>8.4033613445378148E-3</v>
      </c>
      <c r="D183" t="s">
        <v>1172</v>
      </c>
      <c r="E183" s="5" t="s">
        <v>1415</v>
      </c>
    </row>
    <row r="184" spans="1:5">
      <c r="A184" s="3" t="s">
        <v>960</v>
      </c>
      <c r="B184" s="3">
        <v>1</v>
      </c>
      <c r="C184" s="8">
        <f t="shared" si="4"/>
        <v>8.4033613445378148E-3</v>
      </c>
      <c r="D184" t="s">
        <v>1258</v>
      </c>
      <c r="E184" s="5" t="s">
        <v>1416</v>
      </c>
    </row>
    <row r="185" spans="1:5">
      <c r="A185" s="3" t="s">
        <v>961</v>
      </c>
      <c r="B185" s="3">
        <v>1</v>
      </c>
      <c r="C185" s="8">
        <f t="shared" si="4"/>
        <v>8.4033613445378148E-3</v>
      </c>
      <c r="D185" t="s">
        <v>1259</v>
      </c>
      <c r="E185" s="5" t="s">
        <v>1417</v>
      </c>
    </row>
    <row r="186" spans="1:5">
      <c r="A186" s="3" t="s">
        <v>962</v>
      </c>
      <c r="B186" s="3">
        <v>1</v>
      </c>
      <c r="C186" s="8">
        <f t="shared" si="4"/>
        <v>8.4033613445378148E-3</v>
      </c>
      <c r="D186" t="s">
        <v>1260</v>
      </c>
      <c r="E186" s="5" t="s">
        <v>1418</v>
      </c>
    </row>
    <row r="187" spans="1:5">
      <c r="A187" s="3" t="s">
        <v>795</v>
      </c>
      <c r="B187" s="3">
        <v>1</v>
      </c>
      <c r="C187" s="8">
        <f t="shared" si="4"/>
        <v>8.4033613445378148E-3</v>
      </c>
      <c r="D187" t="s">
        <v>1081</v>
      </c>
      <c r="E187" s="5" t="s">
        <v>1419</v>
      </c>
    </row>
    <row r="188" spans="1:5">
      <c r="A188" s="3" t="s">
        <v>796</v>
      </c>
      <c r="B188" s="3">
        <v>1</v>
      </c>
      <c r="C188" s="8">
        <f t="shared" si="4"/>
        <v>8.4033613445378148E-3</v>
      </c>
      <c r="D188" t="s">
        <v>1082</v>
      </c>
      <c r="E188" s="5" t="s">
        <v>1420</v>
      </c>
    </row>
    <row r="189" spans="1:5">
      <c r="A189" s="3" t="s">
        <v>654</v>
      </c>
      <c r="B189" s="3">
        <v>1</v>
      </c>
      <c r="C189" s="8">
        <f t="shared" si="4"/>
        <v>8.4033613445378148E-3</v>
      </c>
      <c r="D189" t="s">
        <v>655</v>
      </c>
      <c r="E189" s="5" t="s">
        <v>1421</v>
      </c>
    </row>
    <row r="190" spans="1:5">
      <c r="A190" s="3" t="s">
        <v>710</v>
      </c>
      <c r="B190" s="3">
        <v>1</v>
      </c>
      <c r="C190" s="8">
        <f t="shared" si="4"/>
        <v>8.4033613445378148E-3</v>
      </c>
      <c r="D190" t="s">
        <v>1083</v>
      </c>
      <c r="E190" s="5" t="s">
        <v>1422</v>
      </c>
    </row>
    <row r="191" spans="1:5">
      <c r="A191" s="3" t="s">
        <v>712</v>
      </c>
      <c r="B191" s="3">
        <v>1</v>
      </c>
      <c r="C191" s="8">
        <f t="shared" si="4"/>
        <v>8.4033613445378148E-3</v>
      </c>
      <c r="D191" t="s">
        <v>1084</v>
      </c>
      <c r="E191" s="5" t="s">
        <v>1423</v>
      </c>
    </row>
    <row r="192" spans="1:5">
      <c r="A192" s="3" t="s">
        <v>713</v>
      </c>
      <c r="B192" s="3">
        <v>1</v>
      </c>
      <c r="C192" s="8">
        <f t="shared" si="4"/>
        <v>8.4033613445378148E-3</v>
      </c>
      <c r="D192" t="s">
        <v>1085</v>
      </c>
      <c r="E192" s="5" t="s">
        <v>1424</v>
      </c>
    </row>
    <row r="193" spans="1:5">
      <c r="A193" s="3" t="s">
        <v>714</v>
      </c>
      <c r="B193" s="3">
        <v>1</v>
      </c>
      <c r="C193" s="8">
        <f t="shared" si="4"/>
        <v>8.4033613445378148E-3</v>
      </c>
      <c r="D193" t="s">
        <v>1086</v>
      </c>
      <c r="E193" s="5" t="s">
        <v>1425</v>
      </c>
    </row>
    <row r="194" spans="1:5">
      <c r="A194" s="3" t="s">
        <v>715</v>
      </c>
      <c r="B194" s="3">
        <v>1</v>
      </c>
      <c r="C194" s="8">
        <f t="shared" si="4"/>
        <v>8.4033613445378148E-3</v>
      </c>
      <c r="D194" t="s">
        <v>1087</v>
      </c>
      <c r="E194" s="5" t="s">
        <v>1426</v>
      </c>
    </row>
    <row r="195" spans="1:5">
      <c r="A195" s="3" t="s">
        <v>716</v>
      </c>
      <c r="B195" s="3">
        <v>1</v>
      </c>
      <c r="C195" s="8">
        <f t="shared" si="4"/>
        <v>8.4033613445378148E-3</v>
      </c>
      <c r="D195" t="s">
        <v>1088</v>
      </c>
      <c r="E195" s="5" t="s">
        <v>1427</v>
      </c>
    </row>
    <row r="196" spans="1:5">
      <c r="A196" s="3" t="s">
        <v>748</v>
      </c>
      <c r="B196" s="3">
        <v>1</v>
      </c>
      <c r="C196" s="8">
        <f t="shared" si="4"/>
        <v>8.4033613445378148E-3</v>
      </c>
      <c r="D196" t="s">
        <v>999</v>
      </c>
      <c r="E196" s="5" t="s">
        <v>1324</v>
      </c>
    </row>
    <row r="197" spans="1:5">
      <c r="A197" s="3" t="s">
        <v>797</v>
      </c>
      <c r="B197" s="3">
        <v>1</v>
      </c>
      <c r="C197" s="8">
        <f t="shared" si="4"/>
        <v>8.4033613445378148E-3</v>
      </c>
      <c r="D197" t="s">
        <v>1089</v>
      </c>
      <c r="E197" s="5" t="s">
        <v>1428</v>
      </c>
    </row>
    <row r="198" spans="1:5">
      <c r="A198" s="3" t="s">
        <v>698</v>
      </c>
      <c r="B198" s="3">
        <v>1</v>
      </c>
      <c r="C198" s="8">
        <f t="shared" si="4"/>
        <v>8.4033613445378148E-3</v>
      </c>
      <c r="D198" t="s">
        <v>1003</v>
      </c>
      <c r="E198" s="5" t="s">
        <v>1328</v>
      </c>
    </row>
    <row r="199" spans="1:5">
      <c r="A199" s="3" t="s">
        <v>726</v>
      </c>
      <c r="B199" s="3">
        <v>1</v>
      </c>
      <c r="C199" s="8">
        <f t="shared" si="4"/>
        <v>8.4033613445378148E-3</v>
      </c>
      <c r="D199" t="s">
        <v>1090</v>
      </c>
      <c r="E199" s="5" t="s">
        <v>1429</v>
      </c>
    </row>
    <row r="200" spans="1:5">
      <c r="A200" s="3" t="s">
        <v>727</v>
      </c>
      <c r="B200" s="3">
        <v>1</v>
      </c>
      <c r="C200" s="8">
        <f t="shared" si="4"/>
        <v>8.4033613445378148E-3</v>
      </c>
      <c r="D200" t="s">
        <v>1091</v>
      </c>
      <c r="E200" s="5" t="s">
        <v>1430</v>
      </c>
    </row>
    <row r="201" spans="1:5">
      <c r="A201" s="3" t="s">
        <v>724</v>
      </c>
      <c r="B201" s="3">
        <v>1</v>
      </c>
      <c r="C201" s="8">
        <f t="shared" si="4"/>
        <v>8.4033613445378148E-3</v>
      </c>
      <c r="D201" t="s">
        <v>1092</v>
      </c>
      <c r="E201" s="5" t="s">
        <v>1431</v>
      </c>
    </row>
    <row r="202" spans="1:5">
      <c r="A202" s="3" t="s">
        <v>798</v>
      </c>
      <c r="B202" s="3">
        <v>1</v>
      </c>
      <c r="C202" s="8">
        <f t="shared" si="4"/>
        <v>8.4033613445378148E-3</v>
      </c>
      <c r="D202" t="s">
        <v>1093</v>
      </c>
      <c r="E202" s="5" t="s">
        <v>1432</v>
      </c>
    </row>
    <row r="203" spans="1:5">
      <c r="A203" s="3" t="s">
        <v>799</v>
      </c>
      <c r="B203" s="3">
        <v>1</v>
      </c>
      <c r="C203" s="8">
        <f t="shared" si="4"/>
        <v>8.4033613445378148E-3</v>
      </c>
      <c r="D203" t="s">
        <v>1094</v>
      </c>
      <c r="E203" s="5" t="s">
        <v>1433</v>
      </c>
    </row>
    <row r="204" spans="1:5">
      <c r="A204" s="3" t="s">
        <v>800</v>
      </c>
      <c r="B204" s="3">
        <v>1</v>
      </c>
      <c r="C204" s="8">
        <f t="shared" si="4"/>
        <v>8.4033613445378148E-3</v>
      </c>
      <c r="D204" t="s">
        <v>1095</v>
      </c>
      <c r="E204" s="5" t="s">
        <v>1434</v>
      </c>
    </row>
    <row r="205" spans="1:5">
      <c r="A205" s="3" t="s">
        <v>801</v>
      </c>
      <c r="B205" s="3">
        <v>1</v>
      </c>
      <c r="C205" s="8">
        <f t="shared" si="4"/>
        <v>8.4033613445378148E-3</v>
      </c>
      <c r="D205" t="s">
        <v>1096</v>
      </c>
      <c r="E205" s="5" t="s">
        <v>1435</v>
      </c>
    </row>
    <row r="206" spans="1:5">
      <c r="A206" s="3" t="s">
        <v>749</v>
      </c>
      <c r="B206" s="3">
        <v>1</v>
      </c>
      <c r="C206" s="8">
        <f t="shared" si="4"/>
        <v>8.4033613445378148E-3</v>
      </c>
      <c r="D206" t="s">
        <v>1000</v>
      </c>
      <c r="E206" s="5" t="s">
        <v>1325</v>
      </c>
    </row>
    <row r="207" spans="1:5">
      <c r="A207" s="3" t="s">
        <v>802</v>
      </c>
      <c r="B207" s="3">
        <v>1</v>
      </c>
      <c r="C207" s="8">
        <f t="shared" si="4"/>
        <v>8.4033613445378148E-3</v>
      </c>
      <c r="D207" t="s">
        <v>1097</v>
      </c>
      <c r="E207" s="5" t="s">
        <v>1436</v>
      </c>
    </row>
    <row r="208" spans="1:5">
      <c r="A208" s="3" t="s">
        <v>747</v>
      </c>
      <c r="B208" s="3">
        <v>1</v>
      </c>
      <c r="C208" s="8">
        <f t="shared" si="4"/>
        <v>8.4033613445378148E-3</v>
      </c>
      <c r="D208" t="s">
        <v>997</v>
      </c>
      <c r="E208" s="5" t="s">
        <v>1322</v>
      </c>
    </row>
    <row r="209" spans="1:5">
      <c r="A209" s="3" t="s">
        <v>688</v>
      </c>
      <c r="B209" s="3">
        <v>1</v>
      </c>
      <c r="C209" s="8">
        <f t="shared" si="4"/>
        <v>8.4033613445378148E-3</v>
      </c>
      <c r="D209" t="s">
        <v>995</v>
      </c>
      <c r="E209" s="5" t="s">
        <v>1320</v>
      </c>
    </row>
    <row r="210" spans="1:5">
      <c r="A210" s="3" t="s">
        <v>803</v>
      </c>
      <c r="B210" s="3">
        <v>1</v>
      </c>
      <c r="C210" s="8">
        <f t="shared" si="4"/>
        <v>8.4033613445378148E-3</v>
      </c>
      <c r="D210" t="s">
        <v>1098</v>
      </c>
      <c r="E210" s="5" t="s">
        <v>1437</v>
      </c>
    </row>
    <row r="211" spans="1:5">
      <c r="A211" s="3" t="s">
        <v>804</v>
      </c>
      <c r="B211" s="3">
        <v>1</v>
      </c>
      <c r="C211" s="8">
        <f t="shared" ref="C211:C225" si="5">B211/119</f>
        <v>8.4033613445378148E-3</v>
      </c>
      <c r="D211" t="s">
        <v>1099</v>
      </c>
      <c r="E211" s="5" t="s">
        <v>1438</v>
      </c>
    </row>
    <row r="212" spans="1:5">
      <c r="A212" s="3" t="s">
        <v>805</v>
      </c>
      <c r="B212" s="3">
        <v>1</v>
      </c>
      <c r="C212" s="8">
        <f t="shared" si="5"/>
        <v>8.4033613445378148E-3</v>
      </c>
      <c r="D212" t="s">
        <v>1100</v>
      </c>
      <c r="E212" s="5" t="s">
        <v>1439</v>
      </c>
    </row>
    <row r="213" spans="1:5">
      <c r="A213" s="3" t="s">
        <v>806</v>
      </c>
      <c r="B213" s="3">
        <v>1</v>
      </c>
      <c r="C213" s="8">
        <f t="shared" si="5"/>
        <v>8.4033613445378148E-3</v>
      </c>
      <c r="D213" t="s">
        <v>1101</v>
      </c>
      <c r="E213" s="5" t="s">
        <v>1440</v>
      </c>
    </row>
    <row r="214" spans="1:5">
      <c r="A214" s="3" t="s">
        <v>807</v>
      </c>
      <c r="B214" s="3">
        <v>1</v>
      </c>
      <c r="C214" s="8">
        <f t="shared" si="5"/>
        <v>8.4033613445378148E-3</v>
      </c>
      <c r="D214" t="s">
        <v>1102</v>
      </c>
      <c r="E214" s="5" t="s">
        <v>1441</v>
      </c>
    </row>
    <row r="215" spans="1:5">
      <c r="A215" s="3" t="s">
        <v>808</v>
      </c>
      <c r="B215" s="3">
        <v>1</v>
      </c>
      <c r="C215" s="8">
        <f t="shared" si="5"/>
        <v>8.4033613445378148E-3</v>
      </c>
      <c r="D215" t="s">
        <v>1103</v>
      </c>
      <c r="E215" s="5" t="s">
        <v>1442</v>
      </c>
    </row>
    <row r="216" spans="1:5">
      <c r="A216" s="3" t="s">
        <v>809</v>
      </c>
      <c r="B216" s="3">
        <v>1</v>
      </c>
      <c r="C216" s="8">
        <f t="shared" si="5"/>
        <v>8.4033613445378148E-3</v>
      </c>
      <c r="D216" t="s">
        <v>1104</v>
      </c>
      <c r="E216" s="5" t="s">
        <v>1443</v>
      </c>
    </row>
    <row r="217" spans="1:5">
      <c r="A217" s="3" t="s">
        <v>810</v>
      </c>
      <c r="B217" s="3">
        <v>1</v>
      </c>
      <c r="C217" s="8">
        <f t="shared" si="5"/>
        <v>8.4033613445378148E-3</v>
      </c>
      <c r="D217" t="s">
        <v>1105</v>
      </c>
      <c r="E217" s="5" t="s">
        <v>1444</v>
      </c>
    </row>
    <row r="218" spans="1:5">
      <c r="A218" s="3" t="s">
        <v>811</v>
      </c>
      <c r="B218" s="3">
        <v>1</v>
      </c>
      <c r="C218" s="8">
        <f t="shared" si="5"/>
        <v>8.4033613445378148E-3</v>
      </c>
      <c r="D218" t="s">
        <v>1106</v>
      </c>
      <c r="E218" s="5" t="s">
        <v>1445</v>
      </c>
    </row>
    <row r="219" spans="1:5">
      <c r="A219" s="3" t="s">
        <v>812</v>
      </c>
      <c r="B219" s="3">
        <v>1</v>
      </c>
      <c r="C219" s="8">
        <f t="shared" si="5"/>
        <v>8.4033613445378148E-3</v>
      </c>
      <c r="D219" t="s">
        <v>1107</v>
      </c>
      <c r="E219" s="5" t="s">
        <v>1446</v>
      </c>
    </row>
    <row r="220" spans="1:5">
      <c r="A220" s="3" t="s">
        <v>813</v>
      </c>
      <c r="B220" s="3">
        <v>1</v>
      </c>
      <c r="C220" s="8">
        <f t="shared" si="5"/>
        <v>8.4033613445378148E-3</v>
      </c>
      <c r="D220" t="s">
        <v>1108</v>
      </c>
      <c r="E220" s="5" t="s">
        <v>1447</v>
      </c>
    </row>
    <row r="221" spans="1:5">
      <c r="A221" s="3" t="s">
        <v>814</v>
      </c>
      <c r="B221" s="3">
        <v>1</v>
      </c>
      <c r="C221" s="8">
        <f t="shared" si="5"/>
        <v>8.4033613445378148E-3</v>
      </c>
      <c r="D221" t="s">
        <v>1109</v>
      </c>
      <c r="E221" s="5" t="s">
        <v>1448</v>
      </c>
    </row>
    <row r="222" spans="1:5">
      <c r="A222" s="3" t="s">
        <v>815</v>
      </c>
      <c r="B222" s="3">
        <v>1</v>
      </c>
      <c r="C222" s="8">
        <f t="shared" si="5"/>
        <v>8.4033613445378148E-3</v>
      </c>
      <c r="D222" t="s">
        <v>1110</v>
      </c>
      <c r="E222" s="5" t="s">
        <v>1449</v>
      </c>
    </row>
    <row r="223" spans="1:5">
      <c r="A223" s="3" t="s">
        <v>816</v>
      </c>
      <c r="B223" s="3">
        <v>1</v>
      </c>
      <c r="C223" s="8">
        <f t="shared" si="5"/>
        <v>8.4033613445378148E-3</v>
      </c>
      <c r="D223" t="s">
        <v>1111</v>
      </c>
      <c r="E223" s="5" t="s">
        <v>1450</v>
      </c>
    </row>
    <row r="224" spans="1:5">
      <c r="A224" s="3" t="s">
        <v>817</v>
      </c>
      <c r="B224" s="3">
        <v>1</v>
      </c>
      <c r="C224" s="8">
        <f t="shared" si="5"/>
        <v>8.4033613445378148E-3</v>
      </c>
      <c r="D224" t="s">
        <v>1112</v>
      </c>
      <c r="E224" s="5" t="s">
        <v>1451</v>
      </c>
    </row>
    <row r="225" spans="1:5">
      <c r="A225" s="3" t="s">
        <v>818</v>
      </c>
      <c r="B225" s="3">
        <v>1</v>
      </c>
      <c r="C225" s="8">
        <f t="shared" si="5"/>
        <v>8.4033613445378148E-3</v>
      </c>
      <c r="D225" t="s">
        <v>1113</v>
      </c>
      <c r="E225" s="5" t="s">
        <v>1452</v>
      </c>
    </row>
    <row r="226" spans="1:5">
      <c r="D226"/>
      <c r="E226" s="5"/>
    </row>
    <row r="227" spans="1:5" ht="15">
      <c r="A227" s="26" t="s">
        <v>1288</v>
      </c>
      <c r="B227" s="24" t="s">
        <v>653</v>
      </c>
      <c r="C227" s="24" t="s">
        <v>980</v>
      </c>
      <c r="D227" s="24" t="s">
        <v>1305</v>
      </c>
      <c r="E227" s="24" t="s">
        <v>1304</v>
      </c>
    </row>
    <row r="228" spans="1:5">
      <c r="A228" s="3" t="s">
        <v>694</v>
      </c>
      <c r="B228" s="3">
        <v>10</v>
      </c>
      <c r="C228" s="6">
        <f t="shared" ref="C228:C291" si="6">B228/24</f>
        <v>0.41666666666666669</v>
      </c>
      <c r="D228" t="s">
        <v>993</v>
      </c>
      <c r="E228" s="5" t="s">
        <v>1319</v>
      </c>
    </row>
    <row r="229" spans="1:5">
      <c r="A229" s="3" t="s">
        <v>710</v>
      </c>
      <c r="B229" s="3">
        <v>9</v>
      </c>
      <c r="C229" s="6">
        <f t="shared" si="6"/>
        <v>0.375</v>
      </c>
      <c r="D229" t="s">
        <v>1083</v>
      </c>
      <c r="E229" s="5" t="s">
        <v>1422</v>
      </c>
    </row>
    <row r="230" spans="1:5">
      <c r="A230" s="3" t="s">
        <v>681</v>
      </c>
      <c r="B230" s="3">
        <v>9</v>
      </c>
      <c r="C230" s="6">
        <f t="shared" si="6"/>
        <v>0.375</v>
      </c>
      <c r="D230" t="s">
        <v>1002</v>
      </c>
      <c r="E230" s="5" t="s">
        <v>1327</v>
      </c>
    </row>
    <row r="231" spans="1:5">
      <c r="A231" s="3" t="s">
        <v>728</v>
      </c>
      <c r="B231" s="3">
        <v>8</v>
      </c>
      <c r="C231" s="6">
        <f t="shared" si="6"/>
        <v>0.33333333333333331</v>
      </c>
      <c r="D231" t="s">
        <v>1043</v>
      </c>
      <c r="E231" s="5" t="s">
        <v>1370</v>
      </c>
    </row>
    <row r="232" spans="1:5">
      <c r="A232" s="3" t="s">
        <v>713</v>
      </c>
      <c r="B232" s="3">
        <v>8</v>
      </c>
      <c r="C232" s="6">
        <f t="shared" si="6"/>
        <v>0.33333333333333331</v>
      </c>
      <c r="D232" t="s">
        <v>1085</v>
      </c>
      <c r="E232" s="5" t="s">
        <v>1424</v>
      </c>
    </row>
    <row r="233" spans="1:5">
      <c r="A233" s="3" t="s">
        <v>716</v>
      </c>
      <c r="B233" s="3">
        <v>7</v>
      </c>
      <c r="C233" s="6">
        <f t="shared" si="6"/>
        <v>0.29166666666666669</v>
      </c>
      <c r="D233" t="s">
        <v>1088</v>
      </c>
      <c r="E233" s="5" t="s">
        <v>1427</v>
      </c>
    </row>
    <row r="234" spans="1:5">
      <c r="A234" s="3" t="s">
        <v>834</v>
      </c>
      <c r="B234" s="3">
        <v>7</v>
      </c>
      <c r="C234" s="6">
        <f t="shared" si="6"/>
        <v>0.29166666666666669</v>
      </c>
      <c r="D234" t="s">
        <v>1114</v>
      </c>
      <c r="E234" s="5" t="s">
        <v>1453</v>
      </c>
    </row>
    <row r="235" spans="1:5">
      <c r="A235" s="3" t="s">
        <v>838</v>
      </c>
      <c r="B235" s="3">
        <v>7</v>
      </c>
      <c r="C235" s="6">
        <f t="shared" si="6"/>
        <v>0.29166666666666669</v>
      </c>
      <c r="D235" t="s">
        <v>1115</v>
      </c>
      <c r="E235" s="5" t="s">
        <v>1454</v>
      </c>
    </row>
    <row r="236" spans="1:5">
      <c r="A236" s="3" t="s">
        <v>712</v>
      </c>
      <c r="B236" s="3">
        <v>7</v>
      </c>
      <c r="C236" s="6">
        <f t="shared" si="6"/>
        <v>0.29166666666666669</v>
      </c>
      <c r="D236" t="s">
        <v>1084</v>
      </c>
      <c r="E236" s="5" t="s">
        <v>1423</v>
      </c>
    </row>
    <row r="237" spans="1:5">
      <c r="A237" s="3" t="s">
        <v>699</v>
      </c>
      <c r="B237" s="3">
        <v>7</v>
      </c>
      <c r="C237" s="6">
        <f t="shared" si="6"/>
        <v>0.29166666666666669</v>
      </c>
      <c r="D237" t="s">
        <v>1004</v>
      </c>
      <c r="E237" s="5" t="s">
        <v>1329</v>
      </c>
    </row>
    <row r="238" spans="1:5">
      <c r="A238" s="3" t="s">
        <v>715</v>
      </c>
      <c r="B238" s="3">
        <v>6</v>
      </c>
      <c r="C238" s="6">
        <f t="shared" si="6"/>
        <v>0.25</v>
      </c>
      <c r="D238" t="s">
        <v>1087</v>
      </c>
      <c r="E238" s="5" t="s">
        <v>1426</v>
      </c>
    </row>
    <row r="239" spans="1:5">
      <c r="A239" s="3" t="s">
        <v>714</v>
      </c>
      <c r="B239" s="3">
        <v>6</v>
      </c>
      <c r="C239" s="6">
        <f t="shared" si="6"/>
        <v>0.25</v>
      </c>
      <c r="D239" t="s">
        <v>1086</v>
      </c>
      <c r="E239" s="5" t="s">
        <v>1425</v>
      </c>
    </row>
    <row r="240" spans="1:5">
      <c r="A240" s="3" t="s">
        <v>833</v>
      </c>
      <c r="B240" s="3">
        <v>6</v>
      </c>
      <c r="C240" s="6">
        <f t="shared" si="6"/>
        <v>0.25</v>
      </c>
      <c r="D240" t="s">
        <v>1116</v>
      </c>
      <c r="E240" s="5" t="s">
        <v>1455</v>
      </c>
    </row>
    <row r="241" spans="1:5">
      <c r="A241" s="3" t="s">
        <v>835</v>
      </c>
      <c r="B241" s="3">
        <v>6</v>
      </c>
      <c r="C241" s="6">
        <f t="shared" si="6"/>
        <v>0.25</v>
      </c>
      <c r="D241" t="s">
        <v>1117</v>
      </c>
      <c r="E241" s="5" t="s">
        <v>1456</v>
      </c>
    </row>
    <row r="242" spans="1:5">
      <c r="A242" s="3" t="s">
        <v>836</v>
      </c>
      <c r="B242" s="3">
        <v>6</v>
      </c>
      <c r="C242" s="6">
        <f t="shared" si="6"/>
        <v>0.25</v>
      </c>
      <c r="D242" t="s">
        <v>1118</v>
      </c>
      <c r="E242" s="5" t="s">
        <v>1457</v>
      </c>
    </row>
    <row r="243" spans="1:5">
      <c r="A243" s="3" t="s">
        <v>837</v>
      </c>
      <c r="B243" s="3">
        <v>6</v>
      </c>
      <c r="C243" s="6">
        <f t="shared" si="6"/>
        <v>0.25</v>
      </c>
      <c r="D243" t="s">
        <v>1119</v>
      </c>
      <c r="E243" s="5" t="s">
        <v>1458</v>
      </c>
    </row>
    <row r="244" spans="1:5">
      <c r="A244" s="3" t="s">
        <v>654</v>
      </c>
      <c r="B244" s="3">
        <v>6</v>
      </c>
      <c r="C244" s="6">
        <f t="shared" si="6"/>
        <v>0.25</v>
      </c>
      <c r="D244" t="s">
        <v>655</v>
      </c>
      <c r="E244" s="5" t="s">
        <v>1421</v>
      </c>
    </row>
    <row r="245" spans="1:5">
      <c r="A245" s="3" t="s">
        <v>700</v>
      </c>
      <c r="B245" s="3">
        <v>6</v>
      </c>
      <c r="C245" s="6">
        <f t="shared" si="6"/>
        <v>0.25</v>
      </c>
      <c r="D245" t="s">
        <v>986</v>
      </c>
      <c r="E245" s="5" t="s">
        <v>1310</v>
      </c>
    </row>
    <row r="246" spans="1:5">
      <c r="A246" s="3" t="s">
        <v>884</v>
      </c>
      <c r="B246" s="3">
        <v>6</v>
      </c>
      <c r="C246" s="6">
        <f t="shared" si="6"/>
        <v>0.25</v>
      </c>
      <c r="D246" t="s">
        <v>1120</v>
      </c>
      <c r="E246" s="5" t="s">
        <v>1459</v>
      </c>
    </row>
    <row r="247" spans="1:5">
      <c r="A247" s="3" t="s">
        <v>800</v>
      </c>
      <c r="B247" s="3">
        <v>6</v>
      </c>
      <c r="C247" s="6">
        <f t="shared" si="6"/>
        <v>0.25</v>
      </c>
      <c r="D247" t="s">
        <v>1095</v>
      </c>
      <c r="E247" s="5" t="s">
        <v>1434</v>
      </c>
    </row>
    <row r="248" spans="1:5">
      <c r="A248" s="3" t="s">
        <v>885</v>
      </c>
      <c r="B248" s="3">
        <v>6</v>
      </c>
      <c r="C248" s="6">
        <f t="shared" si="6"/>
        <v>0.25</v>
      </c>
      <c r="D248" t="s">
        <v>1121</v>
      </c>
      <c r="E248" s="5" t="s">
        <v>1460</v>
      </c>
    </row>
    <row r="249" spans="1:5">
      <c r="A249" s="3" t="s">
        <v>764</v>
      </c>
      <c r="B249" s="3">
        <v>6</v>
      </c>
      <c r="C249" s="6">
        <f t="shared" si="6"/>
        <v>0.25</v>
      </c>
      <c r="D249" t="s">
        <v>1072</v>
      </c>
      <c r="E249" s="5" t="s">
        <v>1396</v>
      </c>
    </row>
    <row r="250" spans="1:5">
      <c r="A250" s="3" t="s">
        <v>886</v>
      </c>
      <c r="B250" s="3">
        <v>6</v>
      </c>
      <c r="C250" s="6">
        <f t="shared" si="6"/>
        <v>0.25</v>
      </c>
      <c r="D250" t="s">
        <v>1122</v>
      </c>
      <c r="E250" s="5" t="s">
        <v>1461</v>
      </c>
    </row>
    <row r="251" spans="1:5">
      <c r="A251" s="3" t="s">
        <v>887</v>
      </c>
      <c r="B251" s="3">
        <v>6</v>
      </c>
      <c r="C251" s="6">
        <f t="shared" si="6"/>
        <v>0.25</v>
      </c>
      <c r="D251" t="s">
        <v>1123</v>
      </c>
      <c r="E251" s="5" t="s">
        <v>1462</v>
      </c>
    </row>
    <row r="252" spans="1:5">
      <c r="A252" s="3" t="s">
        <v>888</v>
      </c>
      <c r="B252" s="3">
        <v>6</v>
      </c>
      <c r="C252" s="6">
        <f t="shared" si="6"/>
        <v>0.25</v>
      </c>
      <c r="D252" t="s">
        <v>1124</v>
      </c>
      <c r="E252" s="5" t="s">
        <v>1463</v>
      </c>
    </row>
    <row r="253" spans="1:5">
      <c r="A253" s="3" t="s">
        <v>889</v>
      </c>
      <c r="B253" s="3">
        <v>6</v>
      </c>
      <c r="C253" s="6">
        <f t="shared" si="6"/>
        <v>0.25</v>
      </c>
      <c r="D253" t="s">
        <v>1125</v>
      </c>
      <c r="E253" s="5" t="s">
        <v>1464</v>
      </c>
    </row>
    <row r="254" spans="1:5">
      <c r="A254" s="3" t="s">
        <v>890</v>
      </c>
      <c r="B254" s="3">
        <v>6</v>
      </c>
      <c r="C254" s="6">
        <f t="shared" si="6"/>
        <v>0.25</v>
      </c>
      <c r="D254" t="s">
        <v>1126</v>
      </c>
      <c r="E254" s="5" t="s">
        <v>1465</v>
      </c>
    </row>
    <row r="255" spans="1:5">
      <c r="A255" s="3" t="s">
        <v>729</v>
      </c>
      <c r="B255" s="3">
        <v>5</v>
      </c>
      <c r="C255" s="6">
        <f t="shared" si="6"/>
        <v>0.20833333333333334</v>
      </c>
      <c r="D255" t="s">
        <v>1051</v>
      </c>
      <c r="E255" s="5" t="s">
        <v>1376</v>
      </c>
    </row>
    <row r="256" spans="1:5">
      <c r="A256" s="3" t="s">
        <v>730</v>
      </c>
      <c r="B256" s="3">
        <v>5</v>
      </c>
      <c r="C256" s="6">
        <f t="shared" si="6"/>
        <v>0.20833333333333334</v>
      </c>
      <c r="D256" t="s">
        <v>1052</v>
      </c>
      <c r="E256" s="5" t="s">
        <v>1377</v>
      </c>
    </row>
    <row r="257" spans="1:5">
      <c r="A257" s="3" t="s">
        <v>732</v>
      </c>
      <c r="B257" s="3">
        <v>5</v>
      </c>
      <c r="C257" s="6">
        <f t="shared" si="6"/>
        <v>0.20833333333333334</v>
      </c>
      <c r="D257" t="s">
        <v>1053</v>
      </c>
      <c r="E257" s="5" t="s">
        <v>1378</v>
      </c>
    </row>
    <row r="258" spans="1:5">
      <c r="A258" s="3" t="s">
        <v>739</v>
      </c>
      <c r="B258" s="3">
        <v>5</v>
      </c>
      <c r="C258" s="6">
        <f t="shared" si="6"/>
        <v>0.20833333333333334</v>
      </c>
      <c r="D258" t="s">
        <v>1049</v>
      </c>
      <c r="E258" s="5" t="s">
        <v>1374</v>
      </c>
    </row>
    <row r="259" spans="1:5">
      <c r="A259" s="3" t="s">
        <v>740</v>
      </c>
      <c r="B259" s="3">
        <v>5</v>
      </c>
      <c r="C259" s="6">
        <f t="shared" si="6"/>
        <v>0.20833333333333334</v>
      </c>
      <c r="D259" t="s">
        <v>1054</v>
      </c>
      <c r="E259" s="5" t="s">
        <v>1379</v>
      </c>
    </row>
    <row r="260" spans="1:5">
      <c r="A260" s="3" t="s">
        <v>741</v>
      </c>
      <c r="B260" s="3">
        <v>5</v>
      </c>
      <c r="C260" s="6">
        <f t="shared" si="6"/>
        <v>0.20833333333333334</v>
      </c>
      <c r="D260" t="s">
        <v>1055</v>
      </c>
      <c r="E260" s="5" t="s">
        <v>1380</v>
      </c>
    </row>
    <row r="261" spans="1:5">
      <c r="A261" s="3" t="s">
        <v>829</v>
      </c>
      <c r="B261" s="3">
        <v>5</v>
      </c>
      <c r="C261" s="6">
        <f t="shared" si="6"/>
        <v>0.20833333333333334</v>
      </c>
      <c r="D261" t="s">
        <v>1127</v>
      </c>
      <c r="E261" s="5" t="s">
        <v>1466</v>
      </c>
    </row>
    <row r="262" spans="1:5">
      <c r="A262" s="3" t="s">
        <v>830</v>
      </c>
      <c r="B262" s="3">
        <v>5</v>
      </c>
      <c r="C262" s="6">
        <f t="shared" si="6"/>
        <v>0.20833333333333334</v>
      </c>
      <c r="D262" t="s">
        <v>1128</v>
      </c>
      <c r="E262" s="5" t="s">
        <v>1467</v>
      </c>
    </row>
    <row r="263" spans="1:5">
      <c r="A263" s="3" t="s">
        <v>839</v>
      </c>
      <c r="B263" s="3">
        <v>5</v>
      </c>
      <c r="C263" s="6">
        <f t="shared" si="6"/>
        <v>0.20833333333333334</v>
      </c>
      <c r="D263" t="s">
        <v>1129</v>
      </c>
      <c r="E263" s="5" t="s">
        <v>1468</v>
      </c>
    </row>
    <row r="264" spans="1:5">
      <c r="A264" s="3" t="s">
        <v>873</v>
      </c>
      <c r="B264" s="3">
        <v>5</v>
      </c>
      <c r="C264" s="6">
        <f t="shared" si="6"/>
        <v>0.20833333333333334</v>
      </c>
      <c r="D264" t="s">
        <v>1130</v>
      </c>
      <c r="E264" s="5" t="s">
        <v>1469</v>
      </c>
    </row>
    <row r="265" spans="1:5">
      <c r="A265" s="3" t="s">
        <v>51</v>
      </c>
      <c r="B265" s="3">
        <v>5</v>
      </c>
      <c r="C265" s="6">
        <f t="shared" si="6"/>
        <v>0.20833333333333334</v>
      </c>
      <c r="D265" t="s">
        <v>1007</v>
      </c>
      <c r="E265" s="5" t="s">
        <v>1331</v>
      </c>
    </row>
    <row r="266" spans="1:5">
      <c r="A266" s="3" t="s">
        <v>731</v>
      </c>
      <c r="B266" s="3">
        <v>4</v>
      </c>
      <c r="C266" s="6">
        <f t="shared" si="6"/>
        <v>0.16666666666666666</v>
      </c>
      <c r="D266" t="s">
        <v>1060</v>
      </c>
      <c r="E266" s="5" t="s">
        <v>1384</v>
      </c>
    </row>
    <row r="267" spans="1:5">
      <c r="A267" s="3" t="s">
        <v>733</v>
      </c>
      <c r="B267" s="3">
        <v>4</v>
      </c>
      <c r="C267" s="6">
        <f t="shared" si="6"/>
        <v>0.16666666666666666</v>
      </c>
      <c r="D267" t="s">
        <v>1061</v>
      </c>
      <c r="E267" s="5" t="s">
        <v>1385</v>
      </c>
    </row>
    <row r="268" spans="1:5">
      <c r="A268" s="3" t="s">
        <v>734</v>
      </c>
      <c r="B268" s="3">
        <v>4</v>
      </c>
      <c r="C268" s="6">
        <f t="shared" si="6"/>
        <v>0.16666666666666666</v>
      </c>
      <c r="D268" t="s">
        <v>1056</v>
      </c>
      <c r="E268" s="5" t="s">
        <v>1381</v>
      </c>
    </row>
    <row r="269" spans="1:5">
      <c r="A269" s="3" t="s">
        <v>735</v>
      </c>
      <c r="B269" s="3">
        <v>4</v>
      </c>
      <c r="C269" s="6">
        <f t="shared" si="6"/>
        <v>0.16666666666666666</v>
      </c>
      <c r="D269" t="s">
        <v>1062</v>
      </c>
      <c r="E269" s="5" t="s">
        <v>1386</v>
      </c>
    </row>
    <row r="270" spans="1:5">
      <c r="A270" s="3" t="s">
        <v>736</v>
      </c>
      <c r="B270" s="3">
        <v>4</v>
      </c>
      <c r="C270" s="6">
        <f t="shared" si="6"/>
        <v>0.16666666666666666</v>
      </c>
      <c r="D270" t="s">
        <v>1063</v>
      </c>
      <c r="E270" s="5" t="s">
        <v>1387</v>
      </c>
    </row>
    <row r="271" spans="1:5">
      <c r="A271" s="3" t="s">
        <v>737</v>
      </c>
      <c r="B271" s="3">
        <v>4</v>
      </c>
      <c r="C271" s="6">
        <f t="shared" si="6"/>
        <v>0.16666666666666666</v>
      </c>
      <c r="D271" t="s">
        <v>1064</v>
      </c>
      <c r="E271" s="5" t="s">
        <v>1388</v>
      </c>
    </row>
    <row r="272" spans="1:5">
      <c r="A272" s="3" t="s">
        <v>738</v>
      </c>
      <c r="B272" s="3">
        <v>4</v>
      </c>
      <c r="C272" s="6">
        <f t="shared" si="6"/>
        <v>0.16666666666666666</v>
      </c>
      <c r="D272" t="s">
        <v>1065</v>
      </c>
      <c r="E272" s="5" t="s">
        <v>1389</v>
      </c>
    </row>
    <row r="273" spans="1:5">
      <c r="A273" s="3" t="s">
        <v>742</v>
      </c>
      <c r="B273" s="3">
        <v>4</v>
      </c>
      <c r="C273" s="6">
        <f t="shared" si="6"/>
        <v>0.16666666666666666</v>
      </c>
      <c r="D273" t="s">
        <v>1066</v>
      </c>
      <c r="E273" s="5" t="s">
        <v>1390</v>
      </c>
    </row>
    <row r="274" spans="1:5">
      <c r="A274" s="3" t="s">
        <v>743</v>
      </c>
      <c r="B274" s="3">
        <v>4</v>
      </c>
      <c r="C274" s="6">
        <f t="shared" si="6"/>
        <v>0.16666666666666666</v>
      </c>
      <c r="D274" t="s">
        <v>1067</v>
      </c>
      <c r="E274" s="5" t="s">
        <v>1391</v>
      </c>
    </row>
    <row r="275" spans="1:5">
      <c r="A275" s="3" t="s">
        <v>701</v>
      </c>
      <c r="B275" s="3">
        <v>4</v>
      </c>
      <c r="C275" s="6">
        <f t="shared" si="6"/>
        <v>0.16666666666666666</v>
      </c>
      <c r="D275" t="s">
        <v>989</v>
      </c>
      <c r="E275" s="5" t="s">
        <v>1313</v>
      </c>
    </row>
    <row r="276" spans="1:5">
      <c r="A276" s="3" t="s">
        <v>702</v>
      </c>
      <c r="B276" s="3">
        <v>4</v>
      </c>
      <c r="C276" s="6">
        <f t="shared" si="6"/>
        <v>0.16666666666666666</v>
      </c>
      <c r="D276" t="s">
        <v>990</v>
      </c>
      <c r="E276" s="5" t="s">
        <v>1314</v>
      </c>
    </row>
    <row r="277" spans="1:5">
      <c r="A277" s="3" t="s">
        <v>718</v>
      </c>
      <c r="B277" s="3">
        <v>4</v>
      </c>
      <c r="C277" s="6">
        <f t="shared" si="6"/>
        <v>0.16666666666666666</v>
      </c>
      <c r="D277" t="s">
        <v>1012</v>
      </c>
      <c r="E277" s="5" t="s">
        <v>1336</v>
      </c>
    </row>
    <row r="278" spans="1:5">
      <c r="A278" s="3" t="s">
        <v>697</v>
      </c>
      <c r="B278" s="3">
        <v>4</v>
      </c>
      <c r="C278" s="6">
        <f t="shared" si="6"/>
        <v>0.16666666666666666</v>
      </c>
      <c r="D278" t="s">
        <v>1001</v>
      </c>
      <c r="E278" s="5" t="s">
        <v>1326</v>
      </c>
    </row>
    <row r="279" spans="1:5">
      <c r="A279" s="3" t="s">
        <v>805</v>
      </c>
      <c r="B279" s="3">
        <v>3</v>
      </c>
      <c r="C279" s="6">
        <f t="shared" si="6"/>
        <v>0.125</v>
      </c>
      <c r="D279" t="s">
        <v>1100</v>
      </c>
      <c r="E279" s="5" t="s">
        <v>1439</v>
      </c>
    </row>
    <row r="280" spans="1:5">
      <c r="A280" s="3" t="s">
        <v>820</v>
      </c>
      <c r="B280" s="3">
        <v>3</v>
      </c>
      <c r="C280" s="6">
        <f t="shared" si="6"/>
        <v>0.125</v>
      </c>
      <c r="D280" t="s">
        <v>1131</v>
      </c>
      <c r="E280" s="5" t="s">
        <v>1470</v>
      </c>
    </row>
    <row r="281" spans="1:5">
      <c r="A281" s="3" t="s">
        <v>726</v>
      </c>
      <c r="B281" s="3">
        <v>3</v>
      </c>
      <c r="C281" s="6">
        <f t="shared" si="6"/>
        <v>0.125</v>
      </c>
      <c r="D281" t="s">
        <v>1090</v>
      </c>
      <c r="E281" s="5" t="s">
        <v>1429</v>
      </c>
    </row>
    <row r="282" spans="1:5">
      <c r="A282" s="3" t="s">
        <v>811</v>
      </c>
      <c r="B282" s="3">
        <v>3</v>
      </c>
      <c r="C282" s="6">
        <f t="shared" si="6"/>
        <v>0.125</v>
      </c>
      <c r="D282" t="s">
        <v>1106</v>
      </c>
      <c r="E282" s="5" t="s">
        <v>1445</v>
      </c>
    </row>
    <row r="283" spans="1:5">
      <c r="A283" s="3" t="s">
        <v>822</v>
      </c>
      <c r="B283" s="3">
        <v>3</v>
      </c>
      <c r="C283" s="6">
        <f t="shared" si="6"/>
        <v>0.125</v>
      </c>
      <c r="D283" t="s">
        <v>1132</v>
      </c>
      <c r="E283" s="5" t="s">
        <v>1471</v>
      </c>
    </row>
    <row r="284" spans="1:5">
      <c r="A284" s="3" t="s">
        <v>823</v>
      </c>
      <c r="B284" s="3">
        <v>3</v>
      </c>
      <c r="C284" s="6">
        <f t="shared" si="6"/>
        <v>0.125</v>
      </c>
      <c r="D284" t="s">
        <v>1133</v>
      </c>
      <c r="E284" s="5" t="s">
        <v>1472</v>
      </c>
    </row>
    <row r="285" spans="1:5">
      <c r="A285" s="3" t="s">
        <v>824</v>
      </c>
      <c r="B285" s="3">
        <v>3</v>
      </c>
      <c r="C285" s="6">
        <f t="shared" si="6"/>
        <v>0.125</v>
      </c>
      <c r="D285" t="s">
        <v>1134</v>
      </c>
      <c r="E285" s="5" t="s">
        <v>1473</v>
      </c>
    </row>
    <row r="286" spans="1:5">
      <c r="A286" s="3" t="s">
        <v>825</v>
      </c>
      <c r="B286" s="3">
        <v>3</v>
      </c>
      <c r="C286" s="6">
        <f t="shared" si="6"/>
        <v>0.125</v>
      </c>
      <c r="D286" t="s">
        <v>1135</v>
      </c>
      <c r="E286" s="5" t="s">
        <v>1474</v>
      </c>
    </row>
    <row r="287" spans="1:5">
      <c r="A287" s="3" t="s">
        <v>826</v>
      </c>
      <c r="B287" s="3">
        <v>3</v>
      </c>
      <c r="C287" s="6">
        <f t="shared" si="6"/>
        <v>0.125</v>
      </c>
      <c r="D287" t="s">
        <v>1136</v>
      </c>
      <c r="E287" s="5" t="s">
        <v>1475</v>
      </c>
    </row>
    <row r="288" spans="1:5">
      <c r="A288" s="3" t="s">
        <v>827</v>
      </c>
      <c r="B288" s="3">
        <v>3</v>
      </c>
      <c r="C288" s="6">
        <f t="shared" si="6"/>
        <v>0.125</v>
      </c>
      <c r="D288" t="s">
        <v>1137</v>
      </c>
      <c r="E288" s="5" t="s">
        <v>1476</v>
      </c>
    </row>
    <row r="289" spans="1:5">
      <c r="A289" s="3" t="s">
        <v>828</v>
      </c>
      <c r="B289" s="3">
        <v>3</v>
      </c>
      <c r="C289" s="6">
        <f t="shared" si="6"/>
        <v>0.125</v>
      </c>
      <c r="D289" t="s">
        <v>1138</v>
      </c>
      <c r="E289" s="5" t="s">
        <v>1477</v>
      </c>
    </row>
    <row r="290" spans="1:5">
      <c r="A290" s="3" t="s">
        <v>831</v>
      </c>
      <c r="B290" s="3">
        <v>3</v>
      </c>
      <c r="C290" s="6">
        <f t="shared" si="6"/>
        <v>0.125</v>
      </c>
      <c r="D290" t="s">
        <v>1139</v>
      </c>
      <c r="E290" s="5" t="s">
        <v>1478</v>
      </c>
    </row>
    <row r="291" spans="1:5">
      <c r="A291" s="3" t="s">
        <v>832</v>
      </c>
      <c r="B291" s="3">
        <v>3</v>
      </c>
      <c r="C291" s="6">
        <f t="shared" si="6"/>
        <v>0.125</v>
      </c>
      <c r="D291" t="s">
        <v>1140</v>
      </c>
      <c r="E291" s="5" t="s">
        <v>1479</v>
      </c>
    </row>
    <row r="292" spans="1:5">
      <c r="A292" s="3" t="s">
        <v>840</v>
      </c>
      <c r="B292" s="3">
        <v>3</v>
      </c>
      <c r="C292" s="6">
        <f t="shared" ref="C292:C355" si="7">B292/24</f>
        <v>0.125</v>
      </c>
      <c r="D292" t="s">
        <v>1141</v>
      </c>
      <c r="E292" s="5" t="s">
        <v>1397</v>
      </c>
    </row>
    <row r="293" spans="1:5">
      <c r="A293" s="3" t="s">
        <v>845</v>
      </c>
      <c r="B293" s="3">
        <v>3</v>
      </c>
      <c r="C293" s="6">
        <f t="shared" si="7"/>
        <v>0.125</v>
      </c>
      <c r="D293" t="s">
        <v>1142</v>
      </c>
      <c r="E293" s="5" t="s">
        <v>1480</v>
      </c>
    </row>
    <row r="294" spans="1:5">
      <c r="A294" s="3" t="s">
        <v>855</v>
      </c>
      <c r="B294" s="2">
        <v>3</v>
      </c>
      <c r="C294" s="6">
        <f t="shared" si="7"/>
        <v>0.125</v>
      </c>
      <c r="D294" t="s">
        <v>1143</v>
      </c>
      <c r="E294" s="5" t="s">
        <v>1413</v>
      </c>
    </row>
    <row r="295" spans="1:5">
      <c r="A295" s="3" t="s">
        <v>856</v>
      </c>
      <c r="B295" s="3">
        <v>3</v>
      </c>
      <c r="C295" s="6">
        <f t="shared" si="7"/>
        <v>0.125</v>
      </c>
      <c r="D295" t="s">
        <v>1144</v>
      </c>
      <c r="E295" s="5" t="s">
        <v>1481</v>
      </c>
    </row>
    <row r="296" spans="1:5">
      <c r="A296" s="3" t="s">
        <v>875</v>
      </c>
      <c r="B296" s="3">
        <v>3</v>
      </c>
      <c r="C296" s="6">
        <f t="shared" si="7"/>
        <v>0.125</v>
      </c>
      <c r="D296" t="s">
        <v>1145</v>
      </c>
      <c r="E296" s="5" t="s">
        <v>1400</v>
      </c>
    </row>
    <row r="297" spans="1:5">
      <c r="A297" s="3" t="s">
        <v>877</v>
      </c>
      <c r="B297" s="3">
        <v>3</v>
      </c>
      <c r="C297" s="6">
        <f t="shared" si="7"/>
        <v>0.125</v>
      </c>
      <c r="D297" t="s">
        <v>1146</v>
      </c>
      <c r="E297" s="5" t="s">
        <v>1482</v>
      </c>
    </row>
    <row r="298" spans="1:5">
      <c r="A298" s="3" t="s">
        <v>686</v>
      </c>
      <c r="B298" s="3">
        <v>3</v>
      </c>
      <c r="C298" s="6">
        <f t="shared" si="7"/>
        <v>0.125</v>
      </c>
      <c r="D298" t="s">
        <v>982</v>
      </c>
      <c r="E298" s="5" t="s">
        <v>1306</v>
      </c>
    </row>
    <row r="299" spans="1:5">
      <c r="A299" s="3" t="s">
        <v>711</v>
      </c>
      <c r="B299" s="3">
        <v>3</v>
      </c>
      <c r="C299" s="6">
        <f t="shared" si="7"/>
        <v>0.125</v>
      </c>
      <c r="D299" t="s">
        <v>1011</v>
      </c>
      <c r="E299" s="5" t="s">
        <v>1335</v>
      </c>
    </row>
    <row r="300" spans="1:5">
      <c r="A300" s="3" t="s">
        <v>762</v>
      </c>
      <c r="B300" s="3">
        <v>3</v>
      </c>
      <c r="C300" s="6">
        <f t="shared" si="7"/>
        <v>0.125</v>
      </c>
      <c r="D300" t="s">
        <v>1031</v>
      </c>
      <c r="E300" s="5" t="s">
        <v>1354</v>
      </c>
    </row>
    <row r="301" spans="1:5">
      <c r="A301" s="3" t="s">
        <v>719</v>
      </c>
      <c r="B301" s="3">
        <v>3</v>
      </c>
      <c r="C301" s="6">
        <f t="shared" si="7"/>
        <v>0.125</v>
      </c>
      <c r="D301" t="s">
        <v>1018</v>
      </c>
      <c r="E301" s="5" t="s">
        <v>1342</v>
      </c>
    </row>
    <row r="302" spans="1:5">
      <c r="A302" s="3" t="s">
        <v>720</v>
      </c>
      <c r="B302" s="3">
        <v>3</v>
      </c>
      <c r="C302" s="6">
        <f t="shared" si="7"/>
        <v>0.125</v>
      </c>
      <c r="D302" t="s">
        <v>1020</v>
      </c>
      <c r="E302" s="5" t="s">
        <v>1344</v>
      </c>
    </row>
    <row r="303" spans="1:5">
      <c r="A303" s="3" t="s">
        <v>804</v>
      </c>
      <c r="B303" s="3">
        <v>3</v>
      </c>
      <c r="C303" s="6">
        <f t="shared" si="7"/>
        <v>0.125</v>
      </c>
      <c r="D303" t="s">
        <v>1099</v>
      </c>
      <c r="E303" s="5" t="s">
        <v>1438</v>
      </c>
    </row>
    <row r="304" spans="1:5">
      <c r="A304" s="3" t="s">
        <v>745</v>
      </c>
      <c r="B304" s="3">
        <v>3</v>
      </c>
      <c r="C304" s="6">
        <f t="shared" si="7"/>
        <v>0.125</v>
      </c>
      <c r="D304" t="s">
        <v>1025</v>
      </c>
      <c r="E304" s="5" t="s">
        <v>1350</v>
      </c>
    </row>
    <row r="305" spans="1:5">
      <c r="A305" s="3" t="s">
        <v>706</v>
      </c>
      <c r="B305" s="3">
        <v>3</v>
      </c>
      <c r="C305" s="6">
        <f t="shared" si="7"/>
        <v>0.125</v>
      </c>
      <c r="D305" t="s">
        <v>1147</v>
      </c>
      <c r="E305" s="5" t="s">
        <v>1483</v>
      </c>
    </row>
    <row r="306" spans="1:5">
      <c r="A306" s="3" t="s">
        <v>915</v>
      </c>
      <c r="B306" s="3">
        <v>3</v>
      </c>
      <c r="C306" s="6">
        <f t="shared" si="7"/>
        <v>0.125</v>
      </c>
      <c r="D306" t="s">
        <v>1148</v>
      </c>
      <c r="E306" s="5" t="s">
        <v>1484</v>
      </c>
    </row>
    <row r="307" spans="1:5">
      <c r="A307" s="3" t="s">
        <v>821</v>
      </c>
      <c r="B307" s="3">
        <v>2</v>
      </c>
      <c r="C307" s="6">
        <f t="shared" si="7"/>
        <v>8.3333333333333329E-2</v>
      </c>
      <c r="D307" t="s">
        <v>1149</v>
      </c>
      <c r="E307" s="5" t="s">
        <v>1485</v>
      </c>
    </row>
    <row r="308" spans="1:5">
      <c r="A308" s="3" t="s">
        <v>766</v>
      </c>
      <c r="B308" s="3">
        <v>2</v>
      </c>
      <c r="C308" s="6">
        <f t="shared" si="7"/>
        <v>8.3333333333333329E-2</v>
      </c>
      <c r="D308" t="s">
        <v>1032</v>
      </c>
      <c r="E308" s="5" t="s">
        <v>1357</v>
      </c>
    </row>
    <row r="309" spans="1:5">
      <c r="A309" s="3" t="s">
        <v>767</v>
      </c>
      <c r="B309" s="3">
        <v>2</v>
      </c>
      <c r="C309" s="6">
        <f t="shared" si="7"/>
        <v>8.3333333333333329E-2</v>
      </c>
      <c r="D309" t="s">
        <v>1039</v>
      </c>
      <c r="E309" s="5" t="s">
        <v>1364</v>
      </c>
    </row>
    <row r="310" spans="1:5">
      <c r="A310" s="3" t="s">
        <v>722</v>
      </c>
      <c r="B310" s="3">
        <v>2</v>
      </c>
      <c r="C310" s="6">
        <f t="shared" si="7"/>
        <v>8.3333333333333329E-2</v>
      </c>
      <c r="D310" t="s">
        <v>1028</v>
      </c>
      <c r="E310" s="5" t="s">
        <v>1355</v>
      </c>
    </row>
    <row r="311" spans="1:5">
      <c r="A311" s="3" t="s">
        <v>770</v>
      </c>
      <c r="B311" s="3">
        <v>2</v>
      </c>
      <c r="C311" s="6">
        <f t="shared" si="7"/>
        <v>8.3333333333333329E-2</v>
      </c>
      <c r="D311" t="s">
        <v>1041</v>
      </c>
      <c r="E311" s="5" t="s">
        <v>1366</v>
      </c>
    </row>
    <row r="312" spans="1:5">
      <c r="A312" s="3" t="s">
        <v>841</v>
      </c>
      <c r="B312" s="3">
        <v>2</v>
      </c>
      <c r="C312" s="6">
        <f t="shared" si="7"/>
        <v>8.3333333333333329E-2</v>
      </c>
      <c r="D312" t="s">
        <v>1150</v>
      </c>
      <c r="E312" s="5" t="s">
        <v>1486</v>
      </c>
    </row>
    <row r="313" spans="1:5">
      <c r="A313" s="3" t="s">
        <v>842</v>
      </c>
      <c r="B313" s="3">
        <v>2</v>
      </c>
      <c r="C313" s="6">
        <f t="shared" si="7"/>
        <v>8.3333333333333329E-2</v>
      </c>
      <c r="D313" t="s">
        <v>1151</v>
      </c>
      <c r="E313" s="5" t="s">
        <v>1487</v>
      </c>
    </row>
    <row r="314" spans="1:5">
      <c r="A314" s="3" t="s">
        <v>843</v>
      </c>
      <c r="B314" s="3">
        <v>2</v>
      </c>
      <c r="C314" s="6">
        <f t="shared" si="7"/>
        <v>8.3333333333333329E-2</v>
      </c>
      <c r="D314" t="s">
        <v>1152</v>
      </c>
      <c r="E314" s="5" t="s">
        <v>1488</v>
      </c>
    </row>
    <row r="315" spans="1:5">
      <c r="A315" s="3" t="s">
        <v>844</v>
      </c>
      <c r="B315" s="3">
        <v>2</v>
      </c>
      <c r="C315" s="6">
        <f t="shared" si="7"/>
        <v>8.3333333333333329E-2</v>
      </c>
      <c r="D315" t="s">
        <v>1153</v>
      </c>
      <c r="E315" s="5" t="s">
        <v>1489</v>
      </c>
    </row>
    <row r="316" spans="1:5">
      <c r="A316" s="3" t="s">
        <v>846</v>
      </c>
      <c r="B316" s="3">
        <v>2</v>
      </c>
      <c r="C316" s="6">
        <f t="shared" si="7"/>
        <v>8.3333333333333329E-2</v>
      </c>
      <c r="D316" t="s">
        <v>1154</v>
      </c>
      <c r="E316" s="5" t="s">
        <v>1490</v>
      </c>
    </row>
    <row r="317" spans="1:5">
      <c r="A317" s="3" t="s">
        <v>847</v>
      </c>
      <c r="B317" s="3">
        <v>2</v>
      </c>
      <c r="C317" s="6">
        <f t="shared" si="7"/>
        <v>8.3333333333333329E-2</v>
      </c>
      <c r="D317" t="s">
        <v>1155</v>
      </c>
      <c r="E317" s="5" t="s">
        <v>1491</v>
      </c>
    </row>
    <row r="318" spans="1:5">
      <c r="A318" s="3" t="s">
        <v>848</v>
      </c>
      <c r="B318" s="3">
        <v>2</v>
      </c>
      <c r="C318" s="6">
        <f t="shared" si="7"/>
        <v>8.3333333333333329E-2</v>
      </c>
      <c r="D318" t="s">
        <v>1156</v>
      </c>
      <c r="E318" s="5" t="s">
        <v>1492</v>
      </c>
    </row>
    <row r="319" spans="1:5">
      <c r="A319" s="3" t="s">
        <v>849</v>
      </c>
      <c r="B319" s="3">
        <v>2</v>
      </c>
      <c r="C319" s="6">
        <f t="shared" si="7"/>
        <v>8.3333333333333329E-2</v>
      </c>
      <c r="D319" t="s">
        <v>1157</v>
      </c>
      <c r="E319" s="5" t="s">
        <v>1493</v>
      </c>
    </row>
    <row r="320" spans="1:5">
      <c r="A320" s="3" t="s">
        <v>850</v>
      </c>
      <c r="B320" s="3">
        <v>2</v>
      </c>
      <c r="C320" s="6">
        <f t="shared" si="7"/>
        <v>8.3333333333333329E-2</v>
      </c>
      <c r="D320" t="s">
        <v>1158</v>
      </c>
      <c r="E320" s="5" t="s">
        <v>1494</v>
      </c>
    </row>
    <row r="321" spans="1:5">
      <c r="A321" s="3" t="s">
        <v>851</v>
      </c>
      <c r="B321" s="3">
        <v>2</v>
      </c>
      <c r="C321" s="6">
        <f t="shared" si="7"/>
        <v>8.3333333333333329E-2</v>
      </c>
      <c r="D321" t="s">
        <v>1159</v>
      </c>
      <c r="E321" s="5" t="s">
        <v>1495</v>
      </c>
    </row>
    <row r="322" spans="1:5">
      <c r="A322" s="3" t="s">
        <v>852</v>
      </c>
      <c r="B322" s="3">
        <v>2</v>
      </c>
      <c r="C322" s="6">
        <f t="shared" si="7"/>
        <v>8.3333333333333329E-2</v>
      </c>
      <c r="D322" t="s">
        <v>1160</v>
      </c>
      <c r="E322" s="5" t="s">
        <v>1496</v>
      </c>
    </row>
    <row r="323" spans="1:5">
      <c r="A323" s="3" t="s">
        <v>853</v>
      </c>
      <c r="B323" s="3">
        <v>2</v>
      </c>
      <c r="C323" s="6">
        <f t="shared" si="7"/>
        <v>8.3333333333333329E-2</v>
      </c>
      <c r="D323" t="s">
        <v>1161</v>
      </c>
      <c r="E323" s="5" t="s">
        <v>1497</v>
      </c>
    </row>
    <row r="324" spans="1:5">
      <c r="A324" s="3" t="s">
        <v>854</v>
      </c>
      <c r="B324" s="3">
        <v>2</v>
      </c>
      <c r="C324" s="6">
        <f t="shared" si="7"/>
        <v>8.3333333333333329E-2</v>
      </c>
      <c r="D324" t="s">
        <v>1162</v>
      </c>
      <c r="E324" s="5" t="s">
        <v>1412</v>
      </c>
    </row>
    <row r="325" spans="1:5">
      <c r="A325" s="3" t="s">
        <v>857</v>
      </c>
      <c r="B325" s="3">
        <v>2</v>
      </c>
      <c r="C325" s="6">
        <f t="shared" si="7"/>
        <v>8.3333333333333329E-2</v>
      </c>
      <c r="D325" t="s">
        <v>1163</v>
      </c>
      <c r="E325" s="5" t="s">
        <v>1498</v>
      </c>
    </row>
    <row r="326" spans="1:5">
      <c r="A326" s="3" t="s">
        <v>858</v>
      </c>
      <c r="B326" s="3">
        <v>2</v>
      </c>
      <c r="C326" s="6">
        <f t="shared" si="7"/>
        <v>8.3333333333333329E-2</v>
      </c>
      <c r="D326" t="s">
        <v>1164</v>
      </c>
      <c r="E326" s="5" t="s">
        <v>1499</v>
      </c>
    </row>
    <row r="327" spans="1:5">
      <c r="A327" s="3" t="s">
        <v>859</v>
      </c>
      <c r="B327" s="3">
        <v>2</v>
      </c>
      <c r="C327" s="6">
        <f t="shared" si="7"/>
        <v>8.3333333333333329E-2</v>
      </c>
      <c r="D327" t="s">
        <v>1165</v>
      </c>
      <c r="E327" s="5" t="s">
        <v>1500</v>
      </c>
    </row>
    <row r="328" spans="1:5">
      <c r="A328" s="3" t="s">
        <v>860</v>
      </c>
      <c r="B328" s="3">
        <v>2</v>
      </c>
      <c r="C328" s="6">
        <f t="shared" si="7"/>
        <v>8.3333333333333329E-2</v>
      </c>
      <c r="D328" t="s">
        <v>1166</v>
      </c>
      <c r="E328" s="5" t="s">
        <v>1501</v>
      </c>
    </row>
    <row r="329" spans="1:5">
      <c r="A329" s="3" t="s">
        <v>861</v>
      </c>
      <c r="B329" s="3">
        <v>2</v>
      </c>
      <c r="C329" s="6">
        <f t="shared" si="7"/>
        <v>8.3333333333333329E-2</v>
      </c>
      <c r="D329" t="s">
        <v>1167</v>
      </c>
      <c r="E329" s="5" t="s">
        <v>1502</v>
      </c>
    </row>
    <row r="330" spans="1:5">
      <c r="A330" s="3" t="s">
        <v>862</v>
      </c>
      <c r="B330" s="3">
        <v>2</v>
      </c>
      <c r="C330" s="6">
        <f t="shared" si="7"/>
        <v>8.3333333333333329E-2</v>
      </c>
      <c r="D330" t="s">
        <v>1168</v>
      </c>
      <c r="E330" s="5" t="s">
        <v>1503</v>
      </c>
    </row>
    <row r="331" spans="1:5">
      <c r="A331" s="3" t="s">
        <v>863</v>
      </c>
      <c r="B331" s="3">
        <v>2</v>
      </c>
      <c r="C331" s="6">
        <f t="shared" si="7"/>
        <v>8.3333333333333329E-2</v>
      </c>
      <c r="D331" t="s">
        <v>1169</v>
      </c>
      <c r="E331" s="5" t="s">
        <v>1504</v>
      </c>
    </row>
    <row r="332" spans="1:5">
      <c r="A332" s="3" t="s">
        <v>864</v>
      </c>
      <c r="B332" s="3">
        <v>2</v>
      </c>
      <c r="C332" s="6">
        <f t="shared" si="7"/>
        <v>8.3333333333333329E-2</v>
      </c>
      <c r="D332" t="s">
        <v>1170</v>
      </c>
      <c r="E332" s="5" t="s">
        <v>1505</v>
      </c>
    </row>
    <row r="333" spans="1:5">
      <c r="A333" s="3" t="s">
        <v>865</v>
      </c>
      <c r="B333" s="3">
        <v>2</v>
      </c>
      <c r="C333" s="6">
        <f t="shared" si="7"/>
        <v>8.3333333333333329E-2</v>
      </c>
      <c r="D333" t="s">
        <v>1171</v>
      </c>
      <c r="E333" s="5" t="s">
        <v>1506</v>
      </c>
    </row>
    <row r="334" spans="1:5">
      <c r="A334" s="3" t="s">
        <v>866</v>
      </c>
      <c r="B334" s="3">
        <v>2</v>
      </c>
      <c r="C334" s="6">
        <f t="shared" si="7"/>
        <v>8.3333333333333329E-2</v>
      </c>
      <c r="D334" t="s">
        <v>1172</v>
      </c>
      <c r="E334" s="5" t="s">
        <v>1415</v>
      </c>
    </row>
    <row r="335" spans="1:5">
      <c r="A335" s="3" t="s">
        <v>867</v>
      </c>
      <c r="B335" s="3">
        <v>2</v>
      </c>
      <c r="C335" s="6">
        <f t="shared" si="7"/>
        <v>8.3333333333333329E-2</v>
      </c>
      <c r="D335" t="s">
        <v>1173</v>
      </c>
      <c r="E335" s="5" t="s">
        <v>1507</v>
      </c>
    </row>
    <row r="336" spans="1:5">
      <c r="A336" s="3" t="s">
        <v>868</v>
      </c>
      <c r="B336" s="3">
        <v>2</v>
      </c>
      <c r="C336" s="6">
        <f t="shared" si="7"/>
        <v>8.3333333333333329E-2</v>
      </c>
      <c r="D336" t="s">
        <v>1174</v>
      </c>
      <c r="E336" s="5" t="s">
        <v>1508</v>
      </c>
    </row>
    <row r="337" spans="1:5">
      <c r="A337" s="3" t="s">
        <v>869</v>
      </c>
      <c r="B337" s="3">
        <v>2</v>
      </c>
      <c r="C337" s="6">
        <f t="shared" si="7"/>
        <v>8.3333333333333329E-2</v>
      </c>
      <c r="D337" t="s">
        <v>1175</v>
      </c>
      <c r="E337" s="5" t="s">
        <v>1509</v>
      </c>
    </row>
    <row r="338" spans="1:5">
      <c r="A338" s="3" t="s">
        <v>870</v>
      </c>
      <c r="B338" s="3">
        <v>2</v>
      </c>
      <c r="C338" s="6">
        <f t="shared" si="7"/>
        <v>8.3333333333333329E-2</v>
      </c>
      <c r="D338" t="s">
        <v>1176</v>
      </c>
      <c r="E338" s="5" t="s">
        <v>1402</v>
      </c>
    </row>
    <row r="339" spans="1:5">
      <c r="A339" s="3" t="s">
        <v>871</v>
      </c>
      <c r="B339" s="3">
        <v>2</v>
      </c>
      <c r="C339" s="6">
        <f t="shared" si="7"/>
        <v>8.3333333333333329E-2</v>
      </c>
      <c r="D339" t="s">
        <v>1177</v>
      </c>
      <c r="E339" s="5" t="s">
        <v>1403</v>
      </c>
    </row>
    <row r="340" spans="1:5">
      <c r="A340" s="3" t="s">
        <v>872</v>
      </c>
      <c r="B340" s="3">
        <v>2</v>
      </c>
      <c r="C340" s="6">
        <f t="shared" si="7"/>
        <v>8.3333333333333329E-2</v>
      </c>
      <c r="D340" t="s">
        <v>1178</v>
      </c>
      <c r="E340" s="5" t="s">
        <v>1510</v>
      </c>
    </row>
    <row r="341" spans="1:5">
      <c r="A341" s="3" t="s">
        <v>874</v>
      </c>
      <c r="B341" s="3">
        <v>2</v>
      </c>
      <c r="C341" s="6">
        <f t="shared" si="7"/>
        <v>8.3333333333333329E-2</v>
      </c>
      <c r="D341" t="s">
        <v>1179</v>
      </c>
      <c r="E341" s="5" t="s">
        <v>1398</v>
      </c>
    </row>
    <row r="342" spans="1:5">
      <c r="A342" s="3" t="s">
        <v>876</v>
      </c>
      <c r="B342" s="3">
        <v>2</v>
      </c>
      <c r="C342" s="6">
        <f t="shared" si="7"/>
        <v>8.3333333333333329E-2</v>
      </c>
      <c r="D342" t="s">
        <v>1180</v>
      </c>
      <c r="E342" s="5" t="s">
        <v>1511</v>
      </c>
    </row>
    <row r="343" spans="1:5">
      <c r="A343" s="3" t="s">
        <v>878</v>
      </c>
      <c r="B343" s="3">
        <v>2</v>
      </c>
      <c r="C343" s="6">
        <f t="shared" si="7"/>
        <v>8.3333333333333329E-2</v>
      </c>
      <c r="D343" t="s">
        <v>1181</v>
      </c>
      <c r="E343" s="5" t="s">
        <v>1512</v>
      </c>
    </row>
    <row r="344" spans="1:5">
      <c r="A344" s="3" t="s">
        <v>879</v>
      </c>
      <c r="B344" s="3">
        <v>2</v>
      </c>
      <c r="C344" s="6">
        <f t="shared" si="7"/>
        <v>8.3333333333333329E-2</v>
      </c>
      <c r="D344" t="s">
        <v>1182</v>
      </c>
      <c r="E344" s="5" t="s">
        <v>1513</v>
      </c>
    </row>
    <row r="345" spans="1:5">
      <c r="A345" s="3" t="s">
        <v>880</v>
      </c>
      <c r="B345" s="3">
        <v>2</v>
      </c>
      <c r="C345" s="6">
        <f t="shared" si="7"/>
        <v>8.3333333333333329E-2</v>
      </c>
      <c r="D345" t="s">
        <v>1183</v>
      </c>
      <c r="E345" s="5" t="s">
        <v>1514</v>
      </c>
    </row>
    <row r="346" spans="1:5">
      <c r="A346" s="3" t="s">
        <v>881</v>
      </c>
      <c r="B346" s="3">
        <v>2</v>
      </c>
      <c r="C346" s="6">
        <f t="shared" si="7"/>
        <v>8.3333333333333329E-2</v>
      </c>
      <c r="D346" t="s">
        <v>1184</v>
      </c>
      <c r="E346" s="5" t="s">
        <v>1515</v>
      </c>
    </row>
    <row r="347" spans="1:5">
      <c r="A347" s="3" t="s">
        <v>882</v>
      </c>
      <c r="B347" s="3">
        <v>2</v>
      </c>
      <c r="C347" s="6">
        <f t="shared" si="7"/>
        <v>8.3333333333333329E-2</v>
      </c>
      <c r="D347" t="s">
        <v>1185</v>
      </c>
      <c r="E347" s="5" t="s">
        <v>1516</v>
      </c>
    </row>
    <row r="348" spans="1:5">
      <c r="A348" s="3" t="s">
        <v>883</v>
      </c>
      <c r="B348" s="3">
        <v>2</v>
      </c>
      <c r="C348" s="6">
        <f t="shared" si="7"/>
        <v>8.3333333333333329E-2</v>
      </c>
      <c r="D348" t="s">
        <v>1186</v>
      </c>
      <c r="E348" s="5" t="s">
        <v>1517</v>
      </c>
    </row>
    <row r="349" spans="1:5">
      <c r="A349" s="3" t="s">
        <v>891</v>
      </c>
      <c r="B349" s="3">
        <v>2</v>
      </c>
      <c r="C349" s="6">
        <f t="shared" si="7"/>
        <v>8.3333333333333329E-2</v>
      </c>
      <c r="D349" t="s">
        <v>1187</v>
      </c>
      <c r="E349" s="5" t="s">
        <v>1518</v>
      </c>
    </row>
    <row r="350" spans="1:5">
      <c r="A350" s="3" t="s">
        <v>892</v>
      </c>
      <c r="B350" s="3">
        <v>2</v>
      </c>
      <c r="C350" s="6">
        <f t="shared" si="7"/>
        <v>8.3333333333333329E-2</v>
      </c>
      <c r="D350" t="s">
        <v>1188</v>
      </c>
      <c r="E350" s="5" t="s">
        <v>1519</v>
      </c>
    </row>
    <row r="351" spans="1:5">
      <c r="A351" s="3" t="s">
        <v>893</v>
      </c>
      <c r="B351" s="3">
        <v>2</v>
      </c>
      <c r="C351" s="6">
        <f t="shared" si="7"/>
        <v>8.3333333333333329E-2</v>
      </c>
      <c r="D351" t="s">
        <v>1189</v>
      </c>
      <c r="E351" s="5" t="s">
        <v>1520</v>
      </c>
    </row>
    <row r="352" spans="1:5">
      <c r="A352" s="3" t="s">
        <v>894</v>
      </c>
      <c r="B352" s="3">
        <v>2</v>
      </c>
      <c r="C352" s="6">
        <f t="shared" si="7"/>
        <v>8.3333333333333329E-2</v>
      </c>
      <c r="D352" t="s">
        <v>1190</v>
      </c>
      <c r="E352" s="5" t="s">
        <v>1521</v>
      </c>
    </row>
    <row r="353" spans="1:5">
      <c r="A353" s="3" t="s">
        <v>806</v>
      </c>
      <c r="B353" s="3">
        <v>2</v>
      </c>
      <c r="C353" s="6">
        <f t="shared" si="7"/>
        <v>8.3333333333333329E-2</v>
      </c>
      <c r="D353" t="s">
        <v>1101</v>
      </c>
      <c r="E353" s="5" t="s">
        <v>1440</v>
      </c>
    </row>
    <row r="354" spans="1:5">
      <c r="A354" s="3" t="s">
        <v>758</v>
      </c>
      <c r="B354" s="3">
        <v>2</v>
      </c>
      <c r="C354" s="6">
        <f t="shared" si="7"/>
        <v>8.3333333333333329E-2</v>
      </c>
      <c r="D354" t="s">
        <v>1070</v>
      </c>
      <c r="E354" s="5" t="s">
        <v>1394</v>
      </c>
    </row>
    <row r="355" spans="1:5">
      <c r="A355" s="3" t="s">
        <v>689</v>
      </c>
      <c r="B355" s="3">
        <v>2</v>
      </c>
      <c r="C355" s="6">
        <f t="shared" si="7"/>
        <v>8.3333333333333329E-2</v>
      </c>
      <c r="D355" t="s">
        <v>985</v>
      </c>
      <c r="E355" s="5" t="s">
        <v>1309</v>
      </c>
    </row>
    <row r="356" spans="1:5">
      <c r="A356" s="3" t="s">
        <v>812</v>
      </c>
      <c r="B356" s="3">
        <v>2</v>
      </c>
      <c r="C356" s="6">
        <f t="shared" ref="C356:C419" si="8">B356/24</f>
        <v>8.3333333333333329E-2</v>
      </c>
      <c r="D356" t="s">
        <v>1107</v>
      </c>
      <c r="E356" s="5" t="s">
        <v>1446</v>
      </c>
    </row>
    <row r="357" spans="1:5">
      <c r="A357" s="3" t="s">
        <v>903</v>
      </c>
      <c r="B357" s="3">
        <v>2</v>
      </c>
      <c r="C357" s="6">
        <f t="shared" si="8"/>
        <v>8.3333333333333329E-2</v>
      </c>
      <c r="D357" t="s">
        <v>1191</v>
      </c>
      <c r="E357" s="5" t="s">
        <v>1522</v>
      </c>
    </row>
    <row r="358" spans="1:5">
      <c r="A358" s="3" t="s">
        <v>693</v>
      </c>
      <c r="B358" s="3">
        <v>2</v>
      </c>
      <c r="C358" s="6">
        <f t="shared" si="8"/>
        <v>8.3333333333333329E-2</v>
      </c>
      <c r="D358" t="s">
        <v>998</v>
      </c>
      <c r="E358" s="5" t="s">
        <v>1323</v>
      </c>
    </row>
    <row r="359" spans="1:5">
      <c r="A359" s="3" t="s">
        <v>721</v>
      </c>
      <c r="B359" s="3">
        <v>2</v>
      </c>
      <c r="C359" s="6">
        <f t="shared" si="8"/>
        <v>8.3333333333333329E-2</v>
      </c>
      <c r="D359" t="s">
        <v>1023</v>
      </c>
      <c r="E359" s="5" t="s">
        <v>1347</v>
      </c>
    </row>
    <row r="360" spans="1:5">
      <c r="A360" s="3" t="s">
        <v>904</v>
      </c>
      <c r="B360" s="3">
        <v>2</v>
      </c>
      <c r="C360" s="6">
        <f t="shared" si="8"/>
        <v>8.3333333333333329E-2</v>
      </c>
      <c r="D360" t="s">
        <v>1192</v>
      </c>
      <c r="E360" s="5" t="s">
        <v>1523</v>
      </c>
    </row>
    <row r="361" spans="1:5">
      <c r="A361" s="3" t="s">
        <v>905</v>
      </c>
      <c r="B361" s="3">
        <v>2</v>
      </c>
      <c r="C361" s="6">
        <f t="shared" si="8"/>
        <v>8.3333333333333329E-2</v>
      </c>
      <c r="D361" t="s">
        <v>1193</v>
      </c>
      <c r="E361" s="5" t="s">
        <v>1524</v>
      </c>
    </row>
    <row r="362" spans="1:5">
      <c r="A362" s="3" t="s">
        <v>753</v>
      </c>
      <c r="B362" s="3">
        <v>2</v>
      </c>
      <c r="C362" s="6">
        <f t="shared" si="8"/>
        <v>8.3333333333333329E-2</v>
      </c>
      <c r="D362" t="s">
        <v>1022</v>
      </c>
      <c r="E362" s="5" t="s">
        <v>1343</v>
      </c>
    </row>
    <row r="363" spans="1:5">
      <c r="A363" s="3" t="s">
        <v>908</v>
      </c>
      <c r="B363" s="3">
        <v>2</v>
      </c>
      <c r="C363" s="6">
        <f t="shared" si="8"/>
        <v>8.3333333333333329E-2</v>
      </c>
      <c r="D363" t="s">
        <v>1194</v>
      </c>
      <c r="E363" s="5" t="s">
        <v>1525</v>
      </c>
    </row>
    <row r="364" spans="1:5">
      <c r="A364" s="3" t="s">
        <v>687</v>
      </c>
      <c r="B364" s="3">
        <v>2</v>
      </c>
      <c r="C364" s="6">
        <f t="shared" si="8"/>
        <v>8.3333333333333329E-2</v>
      </c>
      <c r="D364" t="s">
        <v>983</v>
      </c>
      <c r="E364" s="5" t="s">
        <v>1307</v>
      </c>
    </row>
    <row r="365" spans="1:5">
      <c r="A365" s="3" t="s">
        <v>688</v>
      </c>
      <c r="B365" s="3">
        <v>2</v>
      </c>
      <c r="C365" s="6">
        <f t="shared" si="8"/>
        <v>8.3333333333333329E-2</v>
      </c>
      <c r="D365" t="s">
        <v>995</v>
      </c>
      <c r="E365" s="5" t="s">
        <v>1320</v>
      </c>
    </row>
    <row r="366" spans="1:5">
      <c r="A366" s="3" t="s">
        <v>911</v>
      </c>
      <c r="B366" s="3">
        <v>2</v>
      </c>
      <c r="C366" s="6">
        <f t="shared" si="8"/>
        <v>8.3333333333333329E-2</v>
      </c>
      <c r="D366" t="s">
        <v>1195</v>
      </c>
      <c r="E366" s="5" t="s">
        <v>1526</v>
      </c>
    </row>
    <row r="367" spans="1:5">
      <c r="A367" s="3" t="s">
        <v>912</v>
      </c>
      <c r="B367" s="3">
        <v>2</v>
      </c>
      <c r="C367" s="6">
        <f t="shared" si="8"/>
        <v>8.3333333333333329E-2</v>
      </c>
      <c r="D367" t="s">
        <v>1196</v>
      </c>
      <c r="E367" s="5" t="s">
        <v>1527</v>
      </c>
    </row>
    <row r="368" spans="1:5">
      <c r="A368" s="3" t="s">
        <v>913</v>
      </c>
      <c r="B368" s="3">
        <v>2</v>
      </c>
      <c r="C368" s="6">
        <f t="shared" si="8"/>
        <v>8.3333333333333329E-2</v>
      </c>
      <c r="D368" t="s">
        <v>1197</v>
      </c>
      <c r="E368" s="5" t="s">
        <v>1528</v>
      </c>
    </row>
    <row r="369" spans="1:5">
      <c r="A369" s="3" t="s">
        <v>914</v>
      </c>
      <c r="B369" s="3">
        <v>2</v>
      </c>
      <c r="C369" s="6">
        <f t="shared" si="8"/>
        <v>8.3333333333333329E-2</v>
      </c>
      <c r="D369" t="s">
        <v>1198</v>
      </c>
      <c r="E369" s="5" t="s">
        <v>1529</v>
      </c>
    </row>
    <row r="370" spans="1:5">
      <c r="A370" s="3" t="s">
        <v>916</v>
      </c>
      <c r="B370" s="3">
        <v>2</v>
      </c>
      <c r="C370" s="6">
        <f t="shared" si="8"/>
        <v>8.3333333333333329E-2</v>
      </c>
      <c r="D370" t="s">
        <v>1199</v>
      </c>
      <c r="E370" s="5" t="s">
        <v>1530</v>
      </c>
    </row>
    <row r="371" spans="1:5">
      <c r="A371" s="3" t="s">
        <v>917</v>
      </c>
      <c r="B371" s="3">
        <v>2</v>
      </c>
      <c r="C371" s="6">
        <f t="shared" si="8"/>
        <v>8.3333333333333329E-2</v>
      </c>
      <c r="D371" t="s">
        <v>1200</v>
      </c>
      <c r="E371" s="5" t="s">
        <v>1531</v>
      </c>
    </row>
    <row r="372" spans="1:5">
      <c r="A372" s="3" t="s">
        <v>918</v>
      </c>
      <c r="B372" s="3">
        <v>2</v>
      </c>
      <c r="C372" s="6">
        <f t="shared" si="8"/>
        <v>8.3333333333333329E-2</v>
      </c>
      <c r="D372" t="s">
        <v>1201</v>
      </c>
      <c r="E372" s="5" t="s">
        <v>1532</v>
      </c>
    </row>
    <row r="373" spans="1:5">
      <c r="A373" s="3" t="s">
        <v>922</v>
      </c>
      <c r="B373" s="3">
        <v>2</v>
      </c>
      <c r="C373" s="6">
        <f t="shared" si="8"/>
        <v>8.3333333333333329E-2</v>
      </c>
      <c r="D373" t="s">
        <v>1202</v>
      </c>
      <c r="E373" s="5" t="s">
        <v>1533</v>
      </c>
    </row>
    <row r="374" spans="1:5">
      <c r="A374" s="3" t="s">
        <v>923</v>
      </c>
      <c r="B374" s="3">
        <v>2</v>
      </c>
      <c r="C374" s="6">
        <f t="shared" si="8"/>
        <v>8.3333333333333329E-2</v>
      </c>
      <c r="D374" t="s">
        <v>1203</v>
      </c>
      <c r="E374" s="5" t="s">
        <v>1534</v>
      </c>
    </row>
    <row r="375" spans="1:5">
      <c r="A375" s="3" t="s">
        <v>924</v>
      </c>
      <c r="B375" s="3">
        <v>2</v>
      </c>
      <c r="C375" s="6">
        <f t="shared" si="8"/>
        <v>8.3333333333333329E-2</v>
      </c>
      <c r="D375" t="s">
        <v>1204</v>
      </c>
      <c r="E375" s="5" t="s">
        <v>1535</v>
      </c>
    </row>
    <row r="376" spans="1:5">
      <c r="A376" s="3" t="s">
        <v>925</v>
      </c>
      <c r="B376" s="3">
        <v>2</v>
      </c>
      <c r="C376" s="6">
        <f t="shared" si="8"/>
        <v>8.3333333333333329E-2</v>
      </c>
      <c r="D376" t="s">
        <v>1205</v>
      </c>
      <c r="E376" s="5" t="s">
        <v>1536</v>
      </c>
    </row>
    <row r="377" spans="1:5">
      <c r="A377" s="3" t="s">
        <v>793</v>
      </c>
      <c r="B377" s="3">
        <v>2</v>
      </c>
      <c r="C377" s="6">
        <f t="shared" si="8"/>
        <v>8.3333333333333329E-2</v>
      </c>
      <c r="D377" t="s">
        <v>1045</v>
      </c>
      <c r="E377" s="5" t="s">
        <v>1368</v>
      </c>
    </row>
    <row r="378" spans="1:5">
      <c r="A378" s="3" t="s">
        <v>691</v>
      </c>
      <c r="B378" s="3">
        <v>2</v>
      </c>
      <c r="C378" s="6">
        <f t="shared" si="8"/>
        <v>8.3333333333333329E-2</v>
      </c>
      <c r="D378" t="s">
        <v>988</v>
      </c>
      <c r="E378" s="5" t="s">
        <v>1312</v>
      </c>
    </row>
    <row r="379" spans="1:5">
      <c r="A379" s="3" t="s">
        <v>948</v>
      </c>
      <c r="B379" s="3">
        <v>2</v>
      </c>
      <c r="C379" s="6">
        <f t="shared" si="8"/>
        <v>8.3333333333333329E-2</v>
      </c>
      <c r="D379" t="s">
        <v>1206</v>
      </c>
      <c r="E379" s="6" t="s">
        <v>1537</v>
      </c>
    </row>
    <row r="380" spans="1:5">
      <c r="A380" s="3" t="s">
        <v>819</v>
      </c>
      <c r="B380" s="3">
        <v>1</v>
      </c>
      <c r="C380" s="6">
        <f t="shared" si="8"/>
        <v>4.1666666666666664E-2</v>
      </c>
      <c r="D380" t="s">
        <v>1207</v>
      </c>
      <c r="E380" s="5" t="s">
        <v>1538</v>
      </c>
    </row>
    <row r="381" spans="1:5">
      <c r="A381" s="3" t="s">
        <v>725</v>
      </c>
      <c r="B381" s="3">
        <v>1</v>
      </c>
      <c r="C381" s="6">
        <f t="shared" si="8"/>
        <v>4.1666666666666664E-2</v>
      </c>
      <c r="D381" t="s">
        <v>1033</v>
      </c>
      <c r="E381" s="5" t="s">
        <v>1358</v>
      </c>
    </row>
    <row r="382" spans="1:5">
      <c r="A382" s="3" t="s">
        <v>768</v>
      </c>
      <c r="B382" s="3">
        <v>1</v>
      </c>
      <c r="C382" s="6">
        <f t="shared" si="8"/>
        <v>4.1666666666666664E-2</v>
      </c>
      <c r="D382" t="s">
        <v>1040</v>
      </c>
      <c r="E382" s="5" t="s">
        <v>1365</v>
      </c>
    </row>
    <row r="383" spans="1:5">
      <c r="A383" s="3" t="s">
        <v>769</v>
      </c>
      <c r="B383" s="3">
        <v>1</v>
      </c>
      <c r="C383" s="6">
        <f t="shared" si="8"/>
        <v>4.1666666666666664E-2</v>
      </c>
      <c r="D383" t="s">
        <v>1035</v>
      </c>
      <c r="E383" s="5" t="s">
        <v>1362</v>
      </c>
    </row>
    <row r="384" spans="1:5">
      <c r="A384" s="3" t="s">
        <v>895</v>
      </c>
      <c r="B384" s="3">
        <v>1</v>
      </c>
      <c r="C384" s="6">
        <f t="shared" si="8"/>
        <v>4.1666666666666664E-2</v>
      </c>
      <c r="D384" t="s">
        <v>1208</v>
      </c>
      <c r="E384" s="5" t="s">
        <v>1539</v>
      </c>
    </row>
    <row r="385" spans="1:5">
      <c r="A385" s="3" t="s">
        <v>896</v>
      </c>
      <c r="B385" s="3">
        <v>1</v>
      </c>
      <c r="C385" s="6">
        <f t="shared" si="8"/>
        <v>4.1666666666666664E-2</v>
      </c>
      <c r="D385" t="s">
        <v>1209</v>
      </c>
      <c r="E385" s="5" t="s">
        <v>1540</v>
      </c>
    </row>
    <row r="386" spans="1:5">
      <c r="A386" s="3" t="s">
        <v>703</v>
      </c>
      <c r="B386" s="3">
        <v>1</v>
      </c>
      <c r="C386" s="6">
        <f t="shared" si="8"/>
        <v>4.1666666666666664E-2</v>
      </c>
      <c r="D386" t="s">
        <v>1210</v>
      </c>
      <c r="E386" s="5" t="s">
        <v>1541</v>
      </c>
    </row>
    <row r="387" spans="1:5">
      <c r="A387" s="3" t="s">
        <v>704</v>
      </c>
      <c r="B387" s="3">
        <v>1</v>
      </c>
      <c r="C387" s="6">
        <f t="shared" si="8"/>
        <v>4.1666666666666664E-2</v>
      </c>
      <c r="D387" t="s">
        <v>1078</v>
      </c>
      <c r="E387" s="5" t="s">
        <v>1409</v>
      </c>
    </row>
    <row r="388" spans="1:5">
      <c r="A388" s="3" t="s">
        <v>705</v>
      </c>
      <c r="B388" s="3">
        <v>1</v>
      </c>
      <c r="C388" s="6">
        <f t="shared" si="8"/>
        <v>4.1666666666666664E-2</v>
      </c>
      <c r="D388" t="s">
        <v>1211</v>
      </c>
      <c r="E388" s="5" t="s">
        <v>1542</v>
      </c>
    </row>
    <row r="389" spans="1:5">
      <c r="A389" s="3" t="s">
        <v>707</v>
      </c>
      <c r="B389" s="3">
        <v>1</v>
      </c>
      <c r="C389" s="6">
        <f t="shared" si="8"/>
        <v>4.1666666666666664E-2</v>
      </c>
      <c r="D389" t="s">
        <v>1079</v>
      </c>
      <c r="E389" s="5" t="s">
        <v>1410</v>
      </c>
    </row>
    <row r="390" spans="1:5">
      <c r="A390" s="3" t="s">
        <v>897</v>
      </c>
      <c r="B390" s="3">
        <v>1</v>
      </c>
      <c r="C390" s="6">
        <f t="shared" si="8"/>
        <v>4.1666666666666664E-2</v>
      </c>
      <c r="D390" t="s">
        <v>1212</v>
      </c>
      <c r="E390" s="5" t="s">
        <v>1543</v>
      </c>
    </row>
    <row r="391" spans="1:5">
      <c r="A391" s="3" t="s">
        <v>898</v>
      </c>
      <c r="B391" s="3">
        <v>1</v>
      </c>
      <c r="C391" s="6">
        <f t="shared" si="8"/>
        <v>4.1666666666666664E-2</v>
      </c>
      <c r="D391" t="s">
        <v>1213</v>
      </c>
      <c r="E391" s="5" t="s">
        <v>1544</v>
      </c>
    </row>
    <row r="392" spans="1:5">
      <c r="A392" s="3" t="s">
        <v>899</v>
      </c>
      <c r="B392" s="3">
        <v>1</v>
      </c>
      <c r="C392" s="6">
        <f t="shared" si="8"/>
        <v>4.1666666666666664E-2</v>
      </c>
      <c r="D392" t="s">
        <v>1214</v>
      </c>
      <c r="E392" s="5" t="s">
        <v>1545</v>
      </c>
    </row>
    <row r="393" spans="1:5">
      <c r="A393" s="3" t="s">
        <v>900</v>
      </c>
      <c r="B393" s="3">
        <v>1</v>
      </c>
      <c r="C393" s="6">
        <f t="shared" si="8"/>
        <v>4.1666666666666664E-2</v>
      </c>
      <c r="D393" t="s">
        <v>1215</v>
      </c>
      <c r="E393" s="5" t="s">
        <v>1546</v>
      </c>
    </row>
    <row r="394" spans="1:5">
      <c r="A394" s="3" t="s">
        <v>901</v>
      </c>
      <c r="B394" s="3">
        <v>1</v>
      </c>
      <c r="C394" s="6">
        <f t="shared" si="8"/>
        <v>4.1666666666666664E-2</v>
      </c>
      <c r="D394" t="s">
        <v>1216</v>
      </c>
      <c r="E394" s="5" t="s">
        <v>1547</v>
      </c>
    </row>
    <row r="395" spans="1:5">
      <c r="A395" s="3" t="s">
        <v>777</v>
      </c>
      <c r="B395" s="3">
        <v>1</v>
      </c>
      <c r="C395" s="6">
        <f t="shared" si="8"/>
        <v>4.1666666666666664E-2</v>
      </c>
      <c r="D395" t="s">
        <v>1019</v>
      </c>
      <c r="E395" s="5" t="s">
        <v>1346</v>
      </c>
    </row>
    <row r="396" spans="1:5">
      <c r="A396" s="3" t="s">
        <v>771</v>
      </c>
      <c r="B396" s="3">
        <v>1</v>
      </c>
      <c r="C396" s="6">
        <f t="shared" si="8"/>
        <v>4.1666666666666664E-2</v>
      </c>
      <c r="D396" t="s">
        <v>1008</v>
      </c>
      <c r="E396" s="5" t="s">
        <v>1332</v>
      </c>
    </row>
    <row r="397" spans="1:5">
      <c r="A397" s="3" t="s">
        <v>902</v>
      </c>
      <c r="B397" s="3">
        <v>1</v>
      </c>
      <c r="C397" s="6">
        <f t="shared" si="8"/>
        <v>4.1666666666666664E-2</v>
      </c>
      <c r="D397" t="s">
        <v>1217</v>
      </c>
      <c r="E397" s="5" t="s">
        <v>1548</v>
      </c>
    </row>
    <row r="398" spans="1:5">
      <c r="A398" s="3" t="s">
        <v>717</v>
      </c>
      <c r="B398" s="3">
        <v>1</v>
      </c>
      <c r="C398" s="6">
        <f t="shared" si="8"/>
        <v>4.1666666666666664E-2</v>
      </c>
      <c r="D398" t="s">
        <v>1014</v>
      </c>
      <c r="E398" s="5" t="s">
        <v>1337</v>
      </c>
    </row>
    <row r="399" spans="1:5">
      <c r="A399" s="3" t="s">
        <v>906</v>
      </c>
      <c r="B399" s="3">
        <v>1</v>
      </c>
      <c r="C399" s="6">
        <f t="shared" si="8"/>
        <v>4.1666666666666664E-2</v>
      </c>
      <c r="D399" t="s">
        <v>1218</v>
      </c>
      <c r="E399" s="5" t="s">
        <v>1549</v>
      </c>
    </row>
    <row r="400" spans="1:5">
      <c r="A400" s="3" t="s">
        <v>907</v>
      </c>
      <c r="B400" s="3">
        <v>1</v>
      </c>
      <c r="C400" s="6">
        <f t="shared" si="8"/>
        <v>4.1666666666666664E-2</v>
      </c>
      <c r="D400" t="s">
        <v>1219</v>
      </c>
      <c r="E400" s="5" t="s">
        <v>1550</v>
      </c>
    </row>
    <row r="401" spans="1:5">
      <c r="A401" s="3" t="s">
        <v>785</v>
      </c>
      <c r="B401" s="3">
        <v>1</v>
      </c>
      <c r="C401" s="6">
        <f t="shared" si="8"/>
        <v>4.1666666666666664E-2</v>
      </c>
      <c r="D401" t="s">
        <v>1058</v>
      </c>
      <c r="E401" s="5" t="s">
        <v>1383</v>
      </c>
    </row>
    <row r="402" spans="1:5">
      <c r="A402" s="3" t="s">
        <v>786</v>
      </c>
      <c r="B402" s="3">
        <v>1</v>
      </c>
      <c r="C402" s="6">
        <f t="shared" si="8"/>
        <v>4.1666666666666664E-2</v>
      </c>
      <c r="D402" t="s">
        <v>1073</v>
      </c>
      <c r="E402" s="5" t="s">
        <v>1404</v>
      </c>
    </row>
    <row r="403" spans="1:5">
      <c r="A403" s="3" t="s">
        <v>789</v>
      </c>
      <c r="B403" s="3">
        <v>1</v>
      </c>
      <c r="C403" s="6">
        <f t="shared" si="8"/>
        <v>4.1666666666666664E-2</v>
      </c>
      <c r="D403" t="s">
        <v>1075</v>
      </c>
      <c r="E403" s="5" t="s">
        <v>1406</v>
      </c>
    </row>
    <row r="404" spans="1:5">
      <c r="A404" s="3" t="s">
        <v>909</v>
      </c>
      <c r="B404" s="3">
        <v>1</v>
      </c>
      <c r="C404" s="6">
        <f t="shared" si="8"/>
        <v>4.1666666666666664E-2</v>
      </c>
      <c r="D404" t="s">
        <v>1220</v>
      </c>
      <c r="E404" s="5" t="s">
        <v>1551</v>
      </c>
    </row>
    <row r="405" spans="1:5">
      <c r="A405" s="3" t="s">
        <v>760</v>
      </c>
      <c r="B405" s="3">
        <v>1</v>
      </c>
      <c r="C405" s="6">
        <f t="shared" si="8"/>
        <v>4.1666666666666664E-2</v>
      </c>
      <c r="D405" t="s">
        <v>1030</v>
      </c>
      <c r="E405" s="5" t="s">
        <v>1353</v>
      </c>
    </row>
    <row r="406" spans="1:5">
      <c r="A406" s="3" t="s">
        <v>910</v>
      </c>
      <c r="B406" s="3">
        <v>1</v>
      </c>
      <c r="C406" s="6">
        <f t="shared" si="8"/>
        <v>4.1666666666666664E-2</v>
      </c>
      <c r="D406" t="s">
        <v>1221</v>
      </c>
      <c r="E406" s="5" t="s">
        <v>1552</v>
      </c>
    </row>
    <row r="407" spans="1:5">
      <c r="A407" s="3" t="s">
        <v>692</v>
      </c>
      <c r="B407" s="3">
        <v>1</v>
      </c>
      <c r="C407" s="6">
        <f t="shared" si="8"/>
        <v>4.1666666666666664E-2</v>
      </c>
      <c r="D407" t="s">
        <v>984</v>
      </c>
      <c r="E407" s="5" t="s">
        <v>1308</v>
      </c>
    </row>
    <row r="408" spans="1:5">
      <c r="A408" s="3" t="s">
        <v>803</v>
      </c>
      <c r="B408" s="3">
        <v>1</v>
      </c>
      <c r="C408" s="6">
        <f t="shared" si="8"/>
        <v>4.1666666666666664E-2</v>
      </c>
      <c r="D408" t="s">
        <v>1098</v>
      </c>
      <c r="E408" s="5" t="s">
        <v>1437</v>
      </c>
    </row>
    <row r="409" spans="1:5">
      <c r="A409" s="3" t="s">
        <v>807</v>
      </c>
      <c r="B409" s="3">
        <v>1</v>
      </c>
      <c r="C409" s="6">
        <f t="shared" si="8"/>
        <v>4.1666666666666664E-2</v>
      </c>
      <c r="D409" t="s">
        <v>1102</v>
      </c>
      <c r="E409" s="5" t="s">
        <v>1441</v>
      </c>
    </row>
    <row r="410" spans="1:5">
      <c r="A410" s="3" t="s">
        <v>808</v>
      </c>
      <c r="B410" s="3">
        <v>1</v>
      </c>
      <c r="C410" s="6">
        <f t="shared" si="8"/>
        <v>4.1666666666666664E-2</v>
      </c>
      <c r="D410" t="s">
        <v>1103</v>
      </c>
      <c r="E410" s="5" t="s">
        <v>1442</v>
      </c>
    </row>
    <row r="411" spans="1:5">
      <c r="A411" s="3" t="s">
        <v>919</v>
      </c>
      <c r="B411" s="3">
        <v>1</v>
      </c>
      <c r="C411" s="6">
        <f t="shared" si="8"/>
        <v>4.1666666666666664E-2</v>
      </c>
      <c r="D411" t="s">
        <v>1222</v>
      </c>
      <c r="E411" s="5" t="s">
        <v>1553</v>
      </c>
    </row>
    <row r="412" spans="1:5">
      <c r="A412" s="3" t="s">
        <v>920</v>
      </c>
      <c r="B412" s="3">
        <v>1</v>
      </c>
      <c r="C412" s="6">
        <f t="shared" si="8"/>
        <v>4.1666666666666664E-2</v>
      </c>
      <c r="D412" t="s">
        <v>1223</v>
      </c>
      <c r="E412" s="5" t="s">
        <v>1554</v>
      </c>
    </row>
    <row r="413" spans="1:5">
      <c r="A413" s="3" t="s">
        <v>921</v>
      </c>
      <c r="B413" s="3">
        <v>1</v>
      </c>
      <c r="C413" s="6">
        <f t="shared" si="8"/>
        <v>4.1666666666666664E-2</v>
      </c>
      <c r="D413" t="s">
        <v>1224</v>
      </c>
      <c r="E413" s="5" t="s">
        <v>1555</v>
      </c>
    </row>
    <row r="414" spans="1:5">
      <c r="A414" s="3" t="s">
        <v>926</v>
      </c>
      <c r="B414" s="3">
        <v>1</v>
      </c>
      <c r="C414" s="6">
        <f t="shared" si="8"/>
        <v>4.1666666666666664E-2</v>
      </c>
      <c r="D414" t="s">
        <v>1225</v>
      </c>
      <c r="E414" s="5" t="s">
        <v>1556</v>
      </c>
    </row>
    <row r="415" spans="1:5">
      <c r="A415" s="3" t="s">
        <v>750</v>
      </c>
      <c r="B415" s="3">
        <v>1</v>
      </c>
      <c r="C415" s="6">
        <f t="shared" si="8"/>
        <v>4.1666666666666664E-2</v>
      </c>
      <c r="D415" t="s">
        <v>1005</v>
      </c>
      <c r="E415" s="5" t="s">
        <v>1330</v>
      </c>
    </row>
    <row r="416" spans="1:5">
      <c r="A416" s="3" t="s">
        <v>752</v>
      </c>
      <c r="B416" s="3">
        <v>1</v>
      </c>
      <c r="C416" s="6">
        <f t="shared" si="8"/>
        <v>4.1666666666666664E-2</v>
      </c>
      <c r="D416" t="s">
        <v>1027</v>
      </c>
      <c r="E416" s="5" t="s">
        <v>1349</v>
      </c>
    </row>
    <row r="417" spans="1:5">
      <c r="A417" s="3" t="s">
        <v>794</v>
      </c>
      <c r="B417" s="3">
        <v>1</v>
      </c>
      <c r="C417" s="6">
        <f t="shared" si="8"/>
        <v>4.1666666666666664E-2</v>
      </c>
      <c r="D417" t="s">
        <v>1080</v>
      </c>
      <c r="E417" s="5" t="s">
        <v>1411</v>
      </c>
    </row>
    <row r="418" spans="1:5">
      <c r="A418" s="3" t="s">
        <v>792</v>
      </c>
      <c r="B418" s="3">
        <v>1</v>
      </c>
      <c r="C418" s="6">
        <f t="shared" si="8"/>
        <v>4.1666666666666664E-2</v>
      </c>
      <c r="D418" t="s">
        <v>1050</v>
      </c>
      <c r="E418" s="5" t="s">
        <v>1367</v>
      </c>
    </row>
    <row r="419" spans="1:5">
      <c r="A419" s="3" t="s">
        <v>690</v>
      </c>
      <c r="B419" s="3">
        <v>1</v>
      </c>
      <c r="C419" s="6">
        <f t="shared" si="8"/>
        <v>4.1666666666666664E-2</v>
      </c>
      <c r="D419" t="s">
        <v>987</v>
      </c>
      <c r="E419" s="5" t="s">
        <v>1311</v>
      </c>
    </row>
    <row r="420" spans="1:5">
      <c r="A420" s="3" t="s">
        <v>927</v>
      </c>
      <c r="B420" s="3">
        <v>1</v>
      </c>
      <c r="C420" s="6">
        <f t="shared" ref="C420:C449" si="9">B420/24</f>
        <v>4.1666666666666664E-2</v>
      </c>
      <c r="D420" t="s">
        <v>1226</v>
      </c>
      <c r="E420" s="5" t="s">
        <v>1557</v>
      </c>
    </row>
    <row r="421" spans="1:5">
      <c r="A421" s="3" t="s">
        <v>928</v>
      </c>
      <c r="B421" s="3">
        <v>1</v>
      </c>
      <c r="C421" s="6">
        <f t="shared" si="9"/>
        <v>4.1666666666666664E-2</v>
      </c>
      <c r="D421" t="s">
        <v>1227</v>
      </c>
      <c r="E421" s="5" t="s">
        <v>1558</v>
      </c>
    </row>
    <row r="422" spans="1:5">
      <c r="A422" s="3" t="s">
        <v>929</v>
      </c>
      <c r="B422" s="3">
        <v>1</v>
      </c>
      <c r="C422" s="6">
        <f t="shared" si="9"/>
        <v>4.1666666666666664E-2</v>
      </c>
      <c r="D422" t="s">
        <v>1228</v>
      </c>
      <c r="E422" s="5" t="s">
        <v>1559</v>
      </c>
    </row>
    <row r="423" spans="1:5">
      <c r="A423" s="3" t="s">
        <v>930</v>
      </c>
      <c r="B423" s="3">
        <v>1</v>
      </c>
      <c r="C423" s="6">
        <f t="shared" si="9"/>
        <v>4.1666666666666664E-2</v>
      </c>
      <c r="D423" t="s">
        <v>1229</v>
      </c>
      <c r="E423" s="5" t="s">
        <v>1560</v>
      </c>
    </row>
    <row r="424" spans="1:5">
      <c r="A424" s="3" t="s">
        <v>931</v>
      </c>
      <c r="B424" s="3">
        <v>1</v>
      </c>
      <c r="C424" s="6">
        <f t="shared" si="9"/>
        <v>4.1666666666666664E-2</v>
      </c>
      <c r="D424" t="s">
        <v>1230</v>
      </c>
      <c r="E424" s="5" t="s">
        <v>1561</v>
      </c>
    </row>
    <row r="425" spans="1:5">
      <c r="A425" s="3" t="s">
        <v>932</v>
      </c>
      <c r="B425" s="3">
        <v>1</v>
      </c>
      <c r="C425" s="6">
        <f t="shared" si="9"/>
        <v>4.1666666666666664E-2</v>
      </c>
      <c r="D425" t="s">
        <v>1231</v>
      </c>
      <c r="E425" s="5" t="s">
        <v>1562</v>
      </c>
    </row>
    <row r="426" spans="1:5">
      <c r="A426" s="3" t="s">
        <v>933</v>
      </c>
      <c r="B426" s="3">
        <v>1</v>
      </c>
      <c r="C426" s="6">
        <f t="shared" si="9"/>
        <v>4.1666666666666664E-2</v>
      </c>
      <c r="D426" t="s">
        <v>1232</v>
      </c>
      <c r="E426" s="5" t="s">
        <v>1563</v>
      </c>
    </row>
    <row r="427" spans="1:5">
      <c r="A427" s="3" t="s">
        <v>934</v>
      </c>
      <c r="B427" s="3">
        <v>1</v>
      </c>
      <c r="C427" s="6">
        <f t="shared" si="9"/>
        <v>4.1666666666666664E-2</v>
      </c>
      <c r="D427" t="s">
        <v>1233</v>
      </c>
      <c r="E427" s="5" t="s">
        <v>1564</v>
      </c>
    </row>
    <row r="428" spans="1:5">
      <c r="A428" s="3" t="s">
        <v>935</v>
      </c>
      <c r="B428" s="3">
        <v>1</v>
      </c>
      <c r="C428" s="6">
        <f t="shared" si="9"/>
        <v>4.1666666666666664E-2</v>
      </c>
      <c r="D428" t="s">
        <v>1234</v>
      </c>
      <c r="E428" s="5" t="s">
        <v>1565</v>
      </c>
    </row>
    <row r="429" spans="1:5">
      <c r="A429" s="3" t="s">
        <v>936</v>
      </c>
      <c r="B429" s="3">
        <v>1</v>
      </c>
      <c r="C429" s="6">
        <f t="shared" si="9"/>
        <v>4.1666666666666664E-2</v>
      </c>
      <c r="D429" t="s">
        <v>1235</v>
      </c>
      <c r="E429" s="5" t="s">
        <v>1566</v>
      </c>
    </row>
    <row r="430" spans="1:5">
      <c r="A430" s="3" t="s">
        <v>937</v>
      </c>
      <c r="B430" s="3">
        <v>1</v>
      </c>
      <c r="C430" s="6">
        <f t="shared" si="9"/>
        <v>4.1666666666666664E-2</v>
      </c>
      <c r="D430" t="s">
        <v>1236</v>
      </c>
      <c r="E430" s="5" t="s">
        <v>1567</v>
      </c>
    </row>
    <row r="431" spans="1:5">
      <c r="A431" s="3" t="s">
        <v>938</v>
      </c>
      <c r="B431" s="3">
        <v>1</v>
      </c>
      <c r="C431" s="6">
        <f t="shared" si="9"/>
        <v>4.1666666666666664E-2</v>
      </c>
      <c r="D431" t="s">
        <v>1237</v>
      </c>
      <c r="E431" s="5" t="s">
        <v>1568</v>
      </c>
    </row>
    <row r="432" spans="1:5">
      <c r="A432" s="3" t="s">
        <v>939</v>
      </c>
      <c r="B432" s="3">
        <v>1</v>
      </c>
      <c r="C432" s="6">
        <f t="shared" si="9"/>
        <v>4.1666666666666664E-2</v>
      </c>
      <c r="D432" t="s">
        <v>1238</v>
      </c>
      <c r="E432" s="5" t="s">
        <v>1569</v>
      </c>
    </row>
    <row r="433" spans="1:5">
      <c r="A433" s="3" t="s">
        <v>940</v>
      </c>
      <c r="B433" s="3">
        <v>1</v>
      </c>
      <c r="C433" s="6">
        <f t="shared" si="9"/>
        <v>4.1666666666666664E-2</v>
      </c>
      <c r="D433" t="s">
        <v>1239</v>
      </c>
      <c r="E433" s="5" t="s">
        <v>1570</v>
      </c>
    </row>
    <row r="434" spans="1:5">
      <c r="A434" s="3" t="s">
        <v>941</v>
      </c>
      <c r="B434" s="3">
        <v>1</v>
      </c>
      <c r="C434" s="6">
        <f t="shared" si="9"/>
        <v>4.1666666666666664E-2</v>
      </c>
      <c r="D434" t="s">
        <v>1240</v>
      </c>
      <c r="E434" s="5" t="s">
        <v>1571</v>
      </c>
    </row>
    <row r="435" spans="1:5">
      <c r="A435" s="3" t="s">
        <v>942</v>
      </c>
      <c r="B435" s="3">
        <v>1</v>
      </c>
      <c r="C435" s="6">
        <f t="shared" si="9"/>
        <v>4.1666666666666664E-2</v>
      </c>
      <c r="D435" t="s">
        <v>1241</v>
      </c>
      <c r="E435" s="5" t="s">
        <v>1572</v>
      </c>
    </row>
    <row r="436" spans="1:5">
      <c r="A436" s="3" t="s">
        <v>943</v>
      </c>
      <c r="B436" s="3">
        <v>1</v>
      </c>
      <c r="C436" s="6">
        <f t="shared" si="9"/>
        <v>4.1666666666666664E-2</v>
      </c>
      <c r="D436" t="s">
        <v>1242</v>
      </c>
      <c r="E436" s="5" t="s">
        <v>1573</v>
      </c>
    </row>
    <row r="437" spans="1:5">
      <c r="A437" s="3" t="s">
        <v>944</v>
      </c>
      <c r="B437" s="3">
        <v>1</v>
      </c>
      <c r="C437" s="6">
        <f t="shared" si="9"/>
        <v>4.1666666666666664E-2</v>
      </c>
      <c r="D437" t="s">
        <v>1243</v>
      </c>
      <c r="E437" s="5" t="s">
        <v>1574</v>
      </c>
    </row>
    <row r="438" spans="1:5">
      <c r="A438" s="3" t="s">
        <v>709</v>
      </c>
      <c r="B438" s="3">
        <v>1</v>
      </c>
      <c r="C438" s="6">
        <f t="shared" si="9"/>
        <v>4.1666666666666664E-2</v>
      </c>
      <c r="D438" t="s">
        <v>1009</v>
      </c>
      <c r="E438" s="5" t="s">
        <v>1334</v>
      </c>
    </row>
    <row r="439" spans="1:5">
      <c r="A439" s="3" t="s">
        <v>945</v>
      </c>
      <c r="B439" s="3">
        <v>1</v>
      </c>
      <c r="C439" s="6">
        <f t="shared" si="9"/>
        <v>4.1666666666666664E-2</v>
      </c>
      <c r="D439" t="s">
        <v>1244</v>
      </c>
      <c r="E439" s="5" t="s">
        <v>1575</v>
      </c>
    </row>
    <row r="440" spans="1:5">
      <c r="A440" s="3" t="s">
        <v>946</v>
      </c>
      <c r="B440" s="3">
        <v>1</v>
      </c>
      <c r="C440" s="6">
        <f t="shared" si="9"/>
        <v>4.1666666666666664E-2</v>
      </c>
      <c r="D440" t="s">
        <v>1245</v>
      </c>
      <c r="E440" s="5" t="s">
        <v>1576</v>
      </c>
    </row>
    <row r="441" spans="1:5">
      <c r="A441" s="3" t="s">
        <v>947</v>
      </c>
      <c r="B441" s="3">
        <v>1</v>
      </c>
      <c r="C441" s="6">
        <f t="shared" si="9"/>
        <v>4.1666666666666664E-2</v>
      </c>
      <c r="D441" t="s">
        <v>1246</v>
      </c>
      <c r="E441" s="5" t="s">
        <v>1577</v>
      </c>
    </row>
    <row r="442" spans="1:5">
      <c r="A442" s="3" t="s">
        <v>949</v>
      </c>
      <c r="B442" s="2">
        <v>1</v>
      </c>
      <c r="C442" s="6">
        <f t="shared" si="9"/>
        <v>4.1666666666666664E-2</v>
      </c>
      <c r="D442" s="1" t="s">
        <v>1247</v>
      </c>
      <c r="E442" s="3" t="s">
        <v>1578</v>
      </c>
    </row>
    <row r="443" spans="1:5">
      <c r="A443" s="3" t="s">
        <v>950</v>
      </c>
      <c r="B443" s="3">
        <v>1</v>
      </c>
      <c r="C443" s="6">
        <f t="shared" si="9"/>
        <v>4.1666666666666664E-2</v>
      </c>
      <c r="D443" t="s">
        <v>1248</v>
      </c>
      <c r="E443" s="6" t="s">
        <v>1579</v>
      </c>
    </row>
    <row r="444" spans="1:5">
      <c r="A444" s="3" t="s">
        <v>951</v>
      </c>
      <c r="B444" s="3">
        <v>1</v>
      </c>
      <c r="C444" s="6">
        <f t="shared" si="9"/>
        <v>4.1666666666666664E-2</v>
      </c>
      <c r="D444" t="s">
        <v>1249</v>
      </c>
      <c r="E444" s="6" t="s">
        <v>1580</v>
      </c>
    </row>
    <row r="445" spans="1:5">
      <c r="A445" s="3" t="s">
        <v>952</v>
      </c>
      <c r="B445" s="2">
        <v>1</v>
      </c>
      <c r="C445" s="6">
        <f t="shared" si="9"/>
        <v>4.1666666666666664E-2</v>
      </c>
      <c r="D445" t="s">
        <v>1250</v>
      </c>
      <c r="E445" s="6" t="s">
        <v>1581</v>
      </c>
    </row>
    <row r="446" spans="1:5">
      <c r="A446" s="3" t="s">
        <v>953</v>
      </c>
      <c r="B446" s="3">
        <v>1</v>
      </c>
      <c r="C446" s="6">
        <f t="shared" si="9"/>
        <v>4.1666666666666664E-2</v>
      </c>
      <c r="D446" t="s">
        <v>1251</v>
      </c>
      <c r="E446" s="6" t="s">
        <v>1582</v>
      </c>
    </row>
    <row r="447" spans="1:5">
      <c r="A447" s="3" t="s">
        <v>954</v>
      </c>
      <c r="B447" s="3">
        <v>1</v>
      </c>
      <c r="C447" s="6">
        <f t="shared" si="9"/>
        <v>4.1666666666666664E-2</v>
      </c>
      <c r="D447" t="s">
        <v>1252</v>
      </c>
      <c r="E447" s="6" t="s">
        <v>1583</v>
      </c>
    </row>
    <row r="448" spans="1:5">
      <c r="A448" s="3" t="s">
        <v>955</v>
      </c>
      <c r="B448" s="3">
        <v>1</v>
      </c>
      <c r="C448" s="6">
        <f t="shared" si="9"/>
        <v>4.1666666666666664E-2</v>
      </c>
      <c r="D448" t="s">
        <v>1253</v>
      </c>
      <c r="E448" s="6" t="s">
        <v>1584</v>
      </c>
    </row>
    <row r="449" spans="1:5">
      <c r="A449" s="3" t="s">
        <v>956</v>
      </c>
      <c r="B449" s="3">
        <v>1</v>
      </c>
      <c r="C449" s="6">
        <f t="shared" si="9"/>
        <v>4.1666666666666664E-2</v>
      </c>
      <c r="D449" t="s">
        <v>1254</v>
      </c>
      <c r="E449" s="6" t="s">
        <v>1585</v>
      </c>
    </row>
    <row r="450" spans="1:5">
      <c r="D450"/>
      <c r="E450" s="6"/>
    </row>
    <row r="451" spans="1:5" ht="15">
      <c r="A451" s="26" t="s">
        <v>1289</v>
      </c>
      <c r="B451" s="24" t="s">
        <v>653</v>
      </c>
      <c r="C451" s="24" t="s">
        <v>980</v>
      </c>
      <c r="D451" s="24" t="s">
        <v>1305</v>
      </c>
      <c r="E451" s="24" t="s">
        <v>1304</v>
      </c>
    </row>
    <row r="452" spans="1:5">
      <c r="A452" s="3" t="s">
        <v>752</v>
      </c>
      <c r="B452" s="3">
        <v>5</v>
      </c>
      <c r="C452" s="6">
        <f t="shared" ref="C452:C465" si="10">B452/5</f>
        <v>1</v>
      </c>
      <c r="D452" t="s">
        <v>1027</v>
      </c>
      <c r="E452" s="6" t="s">
        <v>1349</v>
      </c>
    </row>
    <row r="453" spans="1:5">
      <c r="A453" s="3" t="s">
        <v>753</v>
      </c>
      <c r="B453" s="3">
        <v>3</v>
      </c>
      <c r="C453" s="6">
        <f t="shared" si="10"/>
        <v>0.6</v>
      </c>
      <c r="D453" t="s">
        <v>1022</v>
      </c>
      <c r="E453" s="6" t="s">
        <v>1343</v>
      </c>
    </row>
    <row r="454" spans="1:5">
      <c r="A454" s="3" t="s">
        <v>744</v>
      </c>
      <c r="B454" s="3">
        <v>3</v>
      </c>
      <c r="C454" s="6">
        <f t="shared" si="10"/>
        <v>0.6</v>
      </c>
      <c r="D454" t="s">
        <v>996</v>
      </c>
      <c r="E454" s="6" t="s">
        <v>1321</v>
      </c>
    </row>
    <row r="455" spans="1:5">
      <c r="A455" s="3" t="s">
        <v>689</v>
      </c>
      <c r="B455" s="2">
        <v>3</v>
      </c>
      <c r="C455" s="6">
        <f t="shared" si="10"/>
        <v>0.6</v>
      </c>
      <c r="D455" s="1" t="s">
        <v>985</v>
      </c>
      <c r="E455" s="3" t="s">
        <v>1309</v>
      </c>
    </row>
    <row r="456" spans="1:5">
      <c r="A456" s="3" t="s">
        <v>711</v>
      </c>
      <c r="B456" s="3">
        <v>2</v>
      </c>
      <c r="C456" s="6">
        <f t="shared" si="10"/>
        <v>0.4</v>
      </c>
      <c r="D456" t="s">
        <v>1011</v>
      </c>
      <c r="E456" s="6" t="s">
        <v>1335</v>
      </c>
    </row>
    <row r="457" spans="1:5">
      <c r="A457" s="3" t="s">
        <v>750</v>
      </c>
      <c r="B457" s="3">
        <v>2</v>
      </c>
      <c r="C457" s="6">
        <f t="shared" si="10"/>
        <v>0.4</v>
      </c>
      <c r="D457" t="s">
        <v>1005</v>
      </c>
      <c r="E457" s="6" t="s">
        <v>1330</v>
      </c>
    </row>
    <row r="458" spans="1:5">
      <c r="A458" s="3" t="s">
        <v>700</v>
      </c>
      <c r="B458" s="3">
        <v>2</v>
      </c>
      <c r="C458" s="6">
        <f t="shared" si="10"/>
        <v>0.4</v>
      </c>
      <c r="D458" t="s">
        <v>986</v>
      </c>
      <c r="E458" s="6" t="s">
        <v>1310</v>
      </c>
    </row>
    <row r="459" spans="1:5">
      <c r="A459" s="3" t="s">
        <v>756</v>
      </c>
      <c r="B459" s="3">
        <v>2</v>
      </c>
      <c r="C459" s="6">
        <f t="shared" si="10"/>
        <v>0.4</v>
      </c>
      <c r="D459" t="s">
        <v>1046</v>
      </c>
      <c r="E459" s="6" t="s">
        <v>1371</v>
      </c>
    </row>
    <row r="460" spans="1:5">
      <c r="A460" s="3" t="s">
        <v>757</v>
      </c>
      <c r="B460" s="3">
        <v>2</v>
      </c>
      <c r="C460" s="6">
        <f t="shared" si="10"/>
        <v>0.4</v>
      </c>
      <c r="D460" t="s">
        <v>1047</v>
      </c>
      <c r="E460" s="6" t="s">
        <v>1372</v>
      </c>
    </row>
    <row r="461" spans="1:5">
      <c r="A461" s="3" t="s">
        <v>718</v>
      </c>
      <c r="B461" s="3">
        <v>1</v>
      </c>
      <c r="C461" s="6">
        <f t="shared" si="10"/>
        <v>0.2</v>
      </c>
      <c r="D461" t="s">
        <v>1012</v>
      </c>
      <c r="E461" s="6" t="s">
        <v>1336</v>
      </c>
    </row>
    <row r="462" spans="1:5">
      <c r="A462" s="3" t="s">
        <v>691</v>
      </c>
      <c r="B462" s="3">
        <v>1</v>
      </c>
      <c r="C462" s="6">
        <f t="shared" si="10"/>
        <v>0.2</v>
      </c>
      <c r="D462" t="s">
        <v>988</v>
      </c>
      <c r="E462" s="6" t="s">
        <v>1312</v>
      </c>
    </row>
    <row r="463" spans="1:5">
      <c r="A463" s="3" t="s">
        <v>690</v>
      </c>
      <c r="B463" s="3">
        <v>1</v>
      </c>
      <c r="C463" s="6">
        <f t="shared" si="10"/>
        <v>0.2</v>
      </c>
      <c r="D463" t="s">
        <v>987</v>
      </c>
      <c r="E463" s="6" t="s">
        <v>1311</v>
      </c>
    </row>
    <row r="464" spans="1:5">
      <c r="A464" s="3" t="s">
        <v>755</v>
      </c>
      <c r="B464" s="3">
        <v>1</v>
      </c>
      <c r="C464" s="6">
        <f t="shared" si="10"/>
        <v>0.2</v>
      </c>
      <c r="D464" t="s">
        <v>1069</v>
      </c>
      <c r="E464" s="6" t="s">
        <v>1393</v>
      </c>
    </row>
    <row r="465" spans="1:5">
      <c r="A465" s="3" t="s">
        <v>747</v>
      </c>
      <c r="B465" s="3">
        <v>1</v>
      </c>
      <c r="C465" s="6">
        <f t="shared" si="10"/>
        <v>0.2</v>
      </c>
      <c r="D465" t="s">
        <v>997</v>
      </c>
      <c r="E465" s="6" t="s">
        <v>1322</v>
      </c>
    </row>
    <row r="466" spans="1:5">
      <c r="D466"/>
      <c r="E466" s="6"/>
    </row>
    <row r="467" spans="1:5" ht="15">
      <c r="A467" s="26" t="s">
        <v>1290</v>
      </c>
      <c r="B467" s="24" t="s">
        <v>653</v>
      </c>
      <c r="C467" s="24" t="s">
        <v>980</v>
      </c>
      <c r="D467" s="24" t="s">
        <v>1305</v>
      </c>
      <c r="E467" s="24" t="s">
        <v>1304</v>
      </c>
    </row>
    <row r="468" spans="1:5">
      <c r="A468" s="3" t="s">
        <v>719</v>
      </c>
      <c r="B468" s="3">
        <v>30</v>
      </c>
      <c r="C468" s="6">
        <f t="shared" ref="C468:C499" si="11">B468/74</f>
        <v>0.40540540540540543</v>
      </c>
      <c r="D468" t="s">
        <v>1018</v>
      </c>
      <c r="E468" s="6" t="s">
        <v>1342</v>
      </c>
    </row>
    <row r="469" spans="1:5">
      <c r="A469" s="3" t="s">
        <v>718</v>
      </c>
      <c r="B469" s="3">
        <v>30</v>
      </c>
      <c r="C469" s="6">
        <f t="shared" si="11"/>
        <v>0.40540540540540543</v>
      </c>
      <c r="D469" t="s">
        <v>1012</v>
      </c>
      <c r="E469" s="6" t="s">
        <v>1336</v>
      </c>
    </row>
    <row r="470" spans="1:5">
      <c r="A470" s="3" t="s">
        <v>697</v>
      </c>
      <c r="B470" s="3">
        <v>30</v>
      </c>
      <c r="C470" s="6">
        <f t="shared" si="11"/>
        <v>0.40540540540540543</v>
      </c>
      <c r="D470" t="s">
        <v>1001</v>
      </c>
      <c r="E470" s="6" t="s">
        <v>1326</v>
      </c>
    </row>
    <row r="471" spans="1:5">
      <c r="A471" s="3" t="s">
        <v>700</v>
      </c>
      <c r="B471" s="3">
        <v>29</v>
      </c>
      <c r="C471" s="6">
        <f t="shared" si="11"/>
        <v>0.39189189189189189</v>
      </c>
      <c r="D471" t="s">
        <v>986</v>
      </c>
      <c r="E471" s="6" t="s">
        <v>1310</v>
      </c>
    </row>
    <row r="472" spans="1:5">
      <c r="A472" s="3" t="s">
        <v>720</v>
      </c>
      <c r="B472" s="3">
        <v>27</v>
      </c>
      <c r="C472" s="6">
        <f t="shared" si="11"/>
        <v>0.36486486486486486</v>
      </c>
      <c r="D472" t="s">
        <v>1020</v>
      </c>
      <c r="E472" s="6" t="s">
        <v>1344</v>
      </c>
    </row>
    <row r="473" spans="1:5">
      <c r="A473" s="3" t="s">
        <v>721</v>
      </c>
      <c r="B473" s="3">
        <v>27</v>
      </c>
      <c r="C473" s="6">
        <f t="shared" si="11"/>
        <v>0.36486486486486486</v>
      </c>
      <c r="D473" t="s">
        <v>1023</v>
      </c>
      <c r="E473" s="6" t="s">
        <v>1347</v>
      </c>
    </row>
    <row r="474" spans="1:5">
      <c r="A474" s="3" t="s">
        <v>689</v>
      </c>
      <c r="B474" s="3">
        <v>26</v>
      </c>
      <c r="C474" s="6">
        <f t="shared" si="11"/>
        <v>0.35135135135135137</v>
      </c>
      <c r="D474" t="s">
        <v>985</v>
      </c>
      <c r="E474" s="6" t="s">
        <v>1309</v>
      </c>
    </row>
    <row r="475" spans="1:5">
      <c r="A475" s="3" t="s">
        <v>701</v>
      </c>
      <c r="B475" s="3">
        <v>22</v>
      </c>
      <c r="C475" s="6">
        <f t="shared" si="11"/>
        <v>0.29729729729729731</v>
      </c>
      <c r="D475" t="s">
        <v>989</v>
      </c>
      <c r="E475" s="6" t="s">
        <v>1313</v>
      </c>
    </row>
    <row r="476" spans="1:5">
      <c r="A476" s="3" t="s">
        <v>702</v>
      </c>
      <c r="B476" s="3">
        <v>22</v>
      </c>
      <c r="C476" s="6">
        <f t="shared" si="11"/>
        <v>0.29729729729729731</v>
      </c>
      <c r="D476" t="s">
        <v>990</v>
      </c>
      <c r="E476" s="6" t="s">
        <v>1314</v>
      </c>
    </row>
    <row r="477" spans="1:5">
      <c r="A477" s="3" t="s">
        <v>711</v>
      </c>
      <c r="B477" s="3">
        <v>21</v>
      </c>
      <c r="C477" s="6">
        <f t="shared" si="11"/>
        <v>0.28378378378378377</v>
      </c>
      <c r="D477" t="s">
        <v>1011</v>
      </c>
      <c r="E477" s="6" t="s">
        <v>1335</v>
      </c>
    </row>
    <row r="478" spans="1:5">
      <c r="A478" s="3" t="s">
        <v>690</v>
      </c>
      <c r="B478" s="3">
        <v>20</v>
      </c>
      <c r="C478" s="6">
        <f t="shared" si="11"/>
        <v>0.27027027027027029</v>
      </c>
      <c r="D478" t="s">
        <v>987</v>
      </c>
      <c r="E478" s="6" t="s">
        <v>1311</v>
      </c>
    </row>
    <row r="479" spans="1:5">
      <c r="A479" s="3" t="s">
        <v>771</v>
      </c>
      <c r="B479" s="3">
        <v>18</v>
      </c>
      <c r="C479" s="6">
        <f t="shared" si="11"/>
        <v>0.24324324324324326</v>
      </c>
      <c r="D479" t="s">
        <v>1008</v>
      </c>
      <c r="E479" s="6" t="s">
        <v>1332</v>
      </c>
    </row>
    <row r="480" spans="1:5">
      <c r="A480" s="3" t="s">
        <v>691</v>
      </c>
      <c r="B480" s="3">
        <v>18</v>
      </c>
      <c r="C480" s="6">
        <f t="shared" si="11"/>
        <v>0.24324324324324326</v>
      </c>
      <c r="D480" t="s">
        <v>988</v>
      </c>
      <c r="E480" s="6" t="s">
        <v>1312</v>
      </c>
    </row>
    <row r="481" spans="1:5">
      <c r="A481" s="3" t="s">
        <v>761</v>
      </c>
      <c r="B481" s="2">
        <v>13</v>
      </c>
      <c r="C481" s="6">
        <f t="shared" si="11"/>
        <v>0.17567567567567569</v>
      </c>
      <c r="D481" t="s">
        <v>1010</v>
      </c>
      <c r="E481" s="6" t="s">
        <v>1333</v>
      </c>
    </row>
    <row r="482" spans="1:5">
      <c r="A482" s="3" t="s">
        <v>694</v>
      </c>
      <c r="B482" s="3">
        <v>11</v>
      </c>
      <c r="C482" s="6">
        <f t="shared" si="11"/>
        <v>0.14864864864864866</v>
      </c>
      <c r="D482" t="s">
        <v>993</v>
      </c>
      <c r="E482" s="6" t="s">
        <v>1319</v>
      </c>
    </row>
    <row r="483" spans="1:5">
      <c r="A483" s="3" t="s">
        <v>695</v>
      </c>
      <c r="B483" s="3">
        <v>10</v>
      </c>
      <c r="C483" s="6">
        <f t="shared" si="11"/>
        <v>0.13513513513513514</v>
      </c>
      <c r="D483" t="s">
        <v>991</v>
      </c>
      <c r="E483" s="6" t="s">
        <v>1315</v>
      </c>
    </row>
    <row r="484" spans="1:5">
      <c r="A484" s="3" t="s">
        <v>782</v>
      </c>
      <c r="B484" s="3">
        <v>7</v>
      </c>
      <c r="C484" s="6">
        <f t="shared" si="11"/>
        <v>9.45945945945946E-2</v>
      </c>
      <c r="D484" t="s">
        <v>1016</v>
      </c>
      <c r="E484" s="6" t="s">
        <v>1340</v>
      </c>
    </row>
    <row r="485" spans="1:5">
      <c r="A485" s="3" t="s">
        <v>753</v>
      </c>
      <c r="B485" s="3">
        <v>5</v>
      </c>
      <c r="C485" s="6">
        <f t="shared" si="11"/>
        <v>6.7567567567567571E-2</v>
      </c>
      <c r="D485" t="s">
        <v>1022</v>
      </c>
      <c r="E485" s="6" t="s">
        <v>1343</v>
      </c>
    </row>
    <row r="486" spans="1:5">
      <c r="A486" s="3" t="s">
        <v>792</v>
      </c>
      <c r="B486" s="3">
        <v>4</v>
      </c>
      <c r="C486" s="6">
        <f t="shared" si="11"/>
        <v>5.4054054054054057E-2</v>
      </c>
      <c r="D486" t="s">
        <v>1050</v>
      </c>
      <c r="E486" s="6" t="s">
        <v>1367</v>
      </c>
    </row>
    <row r="487" spans="1:5">
      <c r="A487" s="3" t="s">
        <v>773</v>
      </c>
      <c r="B487" s="3">
        <v>3</v>
      </c>
      <c r="C487" s="6">
        <f t="shared" si="11"/>
        <v>4.0540540540540543E-2</v>
      </c>
      <c r="D487" t="s">
        <v>1015</v>
      </c>
      <c r="E487" s="6" t="s">
        <v>1339</v>
      </c>
    </row>
    <row r="488" spans="1:5">
      <c r="A488" s="3" t="s">
        <v>793</v>
      </c>
      <c r="B488" s="3">
        <v>3</v>
      </c>
      <c r="C488" s="6">
        <f t="shared" si="11"/>
        <v>4.0540540540540543E-2</v>
      </c>
      <c r="D488" t="s">
        <v>1045</v>
      </c>
      <c r="E488" s="6" t="s">
        <v>1368</v>
      </c>
    </row>
    <row r="489" spans="1:5">
      <c r="A489" s="3" t="s">
        <v>774</v>
      </c>
      <c r="B489" s="3">
        <v>3</v>
      </c>
      <c r="C489" s="6">
        <f t="shared" si="11"/>
        <v>4.0540540540540543E-2</v>
      </c>
      <c r="D489" t="s">
        <v>1017</v>
      </c>
      <c r="E489" s="6" t="s">
        <v>1341</v>
      </c>
    </row>
    <row r="490" spans="1:5">
      <c r="A490" s="3" t="s">
        <v>870</v>
      </c>
      <c r="B490" s="3">
        <v>3</v>
      </c>
      <c r="C490" s="6">
        <f t="shared" si="11"/>
        <v>4.0540540540540543E-2</v>
      </c>
      <c r="D490" t="s">
        <v>1176</v>
      </c>
      <c r="E490" s="6" t="s">
        <v>1402</v>
      </c>
    </row>
    <row r="491" spans="1:5">
      <c r="A491" s="3" t="s">
        <v>871</v>
      </c>
      <c r="B491" s="3">
        <v>3</v>
      </c>
      <c r="C491" s="6">
        <f t="shared" si="11"/>
        <v>4.0540540540540543E-2</v>
      </c>
      <c r="D491" t="s">
        <v>1177</v>
      </c>
      <c r="E491" s="6" t="s">
        <v>1403</v>
      </c>
    </row>
    <row r="492" spans="1:5">
      <c r="A492" s="3" t="s">
        <v>783</v>
      </c>
      <c r="B492" s="3">
        <v>3</v>
      </c>
      <c r="C492" s="6">
        <f t="shared" si="11"/>
        <v>4.0540540540540543E-2</v>
      </c>
      <c r="D492" t="s">
        <v>1029</v>
      </c>
      <c r="E492" s="6" t="s">
        <v>1352</v>
      </c>
    </row>
    <row r="493" spans="1:5">
      <c r="A493" s="3" t="s">
        <v>699</v>
      </c>
      <c r="B493" s="3">
        <v>2</v>
      </c>
      <c r="C493" s="6">
        <f t="shared" si="11"/>
        <v>2.7027027027027029E-2</v>
      </c>
      <c r="D493" t="s">
        <v>1004</v>
      </c>
      <c r="E493" s="6" t="s">
        <v>1329</v>
      </c>
    </row>
    <row r="494" spans="1:5">
      <c r="A494" s="3" t="s">
        <v>785</v>
      </c>
      <c r="B494" s="3">
        <v>2</v>
      </c>
      <c r="C494" s="6">
        <f t="shared" si="11"/>
        <v>2.7027027027027029E-2</v>
      </c>
      <c r="D494" t="s">
        <v>1058</v>
      </c>
      <c r="E494" s="6" t="s">
        <v>1383</v>
      </c>
    </row>
    <row r="495" spans="1:5">
      <c r="A495" s="3" t="s">
        <v>786</v>
      </c>
      <c r="B495" s="3">
        <v>2</v>
      </c>
      <c r="C495" s="6">
        <f t="shared" si="11"/>
        <v>2.7027027027027029E-2</v>
      </c>
      <c r="D495" t="s">
        <v>1073</v>
      </c>
      <c r="E495" s="6" t="s">
        <v>1404</v>
      </c>
    </row>
    <row r="496" spans="1:5">
      <c r="A496" s="3" t="s">
        <v>696</v>
      </c>
      <c r="B496" s="3">
        <v>2</v>
      </c>
      <c r="C496" s="6">
        <f t="shared" si="11"/>
        <v>2.7027027027027029E-2</v>
      </c>
      <c r="D496" t="s">
        <v>994</v>
      </c>
      <c r="E496" s="6" t="s">
        <v>1316</v>
      </c>
    </row>
    <row r="497" spans="1:5">
      <c r="A497" s="3" t="s">
        <v>802</v>
      </c>
      <c r="B497" s="3">
        <v>2</v>
      </c>
      <c r="C497" s="6">
        <f t="shared" si="11"/>
        <v>2.7027027027027029E-2</v>
      </c>
      <c r="D497" t="s">
        <v>1097</v>
      </c>
      <c r="E497" s="6" t="s">
        <v>1436</v>
      </c>
    </row>
    <row r="498" spans="1:5">
      <c r="A498" s="3" t="s">
        <v>710</v>
      </c>
      <c r="B498" s="3">
        <v>2</v>
      </c>
      <c r="C498" s="6">
        <f t="shared" si="11"/>
        <v>2.7027027027027029E-2</v>
      </c>
      <c r="D498" t="s">
        <v>1083</v>
      </c>
      <c r="E498" s="6" t="s">
        <v>1422</v>
      </c>
    </row>
    <row r="499" spans="1:5">
      <c r="A499" s="3" t="s">
        <v>854</v>
      </c>
      <c r="B499" s="3">
        <v>1</v>
      </c>
      <c r="C499" s="6">
        <f t="shared" si="11"/>
        <v>1.3513513513513514E-2</v>
      </c>
      <c r="D499" t="s">
        <v>1162</v>
      </c>
      <c r="E499" s="6" t="s">
        <v>1412</v>
      </c>
    </row>
    <row r="500" spans="1:5">
      <c r="A500" s="3" t="s">
        <v>855</v>
      </c>
      <c r="B500" s="3">
        <v>1</v>
      </c>
      <c r="C500" s="6">
        <f t="shared" ref="C500:C526" si="12">B500/74</f>
        <v>1.3513513513513514E-2</v>
      </c>
      <c r="D500" t="s">
        <v>1143</v>
      </c>
      <c r="E500" s="6" t="s">
        <v>1413</v>
      </c>
    </row>
    <row r="501" spans="1:5">
      <c r="A501" s="3" t="s">
        <v>959</v>
      </c>
      <c r="B501" s="3">
        <v>1</v>
      </c>
      <c r="C501" s="6">
        <f t="shared" si="12"/>
        <v>1.3513513513513514E-2</v>
      </c>
      <c r="D501" t="s">
        <v>1257</v>
      </c>
      <c r="E501" s="6" t="s">
        <v>1414</v>
      </c>
    </row>
    <row r="502" spans="1:5">
      <c r="A502" s="3" t="s">
        <v>762</v>
      </c>
      <c r="B502" s="3">
        <v>1</v>
      </c>
      <c r="C502" s="6">
        <f t="shared" si="12"/>
        <v>1.3513513513513514E-2</v>
      </c>
      <c r="D502" t="s">
        <v>1031</v>
      </c>
      <c r="E502" s="6" t="s">
        <v>1354</v>
      </c>
    </row>
    <row r="503" spans="1:5">
      <c r="A503" s="3" t="s">
        <v>726</v>
      </c>
      <c r="B503" s="3">
        <v>1</v>
      </c>
      <c r="C503" s="6">
        <f t="shared" si="12"/>
        <v>1.3513513513513514E-2</v>
      </c>
      <c r="D503" t="s">
        <v>1090</v>
      </c>
      <c r="E503" s="6" t="s">
        <v>1429</v>
      </c>
    </row>
    <row r="504" spans="1:5">
      <c r="A504" s="3" t="s">
        <v>777</v>
      </c>
      <c r="B504" s="3">
        <v>1</v>
      </c>
      <c r="C504" s="6">
        <f t="shared" si="12"/>
        <v>1.3513513513513514E-2</v>
      </c>
      <c r="D504" t="s">
        <v>1019</v>
      </c>
      <c r="E504" s="6" t="s">
        <v>1346</v>
      </c>
    </row>
    <row r="505" spans="1:5">
      <c r="A505" s="3" t="s">
        <v>966</v>
      </c>
      <c r="B505" s="3">
        <v>1</v>
      </c>
      <c r="C505" s="6">
        <f t="shared" si="12"/>
        <v>1.3513513513513514E-2</v>
      </c>
      <c r="D505" t="s">
        <v>1264</v>
      </c>
      <c r="E505" s="6" t="s">
        <v>1586</v>
      </c>
    </row>
    <row r="506" spans="1:5">
      <c r="A506" s="3" t="s">
        <v>866</v>
      </c>
      <c r="B506" s="3">
        <v>1</v>
      </c>
      <c r="C506" s="6">
        <f t="shared" si="12"/>
        <v>1.3513513513513514E-2</v>
      </c>
      <c r="D506" t="s">
        <v>1172</v>
      </c>
      <c r="E506" s="6" t="s">
        <v>1415</v>
      </c>
    </row>
    <row r="507" spans="1:5">
      <c r="A507" s="3" t="s">
        <v>804</v>
      </c>
      <c r="B507" s="3">
        <v>1</v>
      </c>
      <c r="C507" s="6">
        <f t="shared" si="12"/>
        <v>1.3513513513513514E-2</v>
      </c>
      <c r="D507" t="s">
        <v>1099</v>
      </c>
      <c r="E507" s="6" t="s">
        <v>1438</v>
      </c>
    </row>
    <row r="508" spans="1:5">
      <c r="A508" s="3" t="s">
        <v>954</v>
      </c>
      <c r="B508" s="2">
        <v>1</v>
      </c>
      <c r="C508" s="6">
        <f t="shared" si="12"/>
        <v>1.3513513513513514E-2</v>
      </c>
      <c r="D508" s="1" t="s">
        <v>1252</v>
      </c>
      <c r="E508" s="3" t="s">
        <v>1583</v>
      </c>
    </row>
    <row r="509" spans="1:5">
      <c r="A509" s="3" t="s">
        <v>963</v>
      </c>
      <c r="B509" s="3">
        <v>1</v>
      </c>
      <c r="C509" s="6">
        <f t="shared" si="12"/>
        <v>1.3513513513513514E-2</v>
      </c>
      <c r="D509" t="s">
        <v>1261</v>
      </c>
      <c r="E509" s="6" t="s">
        <v>1587</v>
      </c>
    </row>
    <row r="510" spans="1:5">
      <c r="A510" s="3" t="s">
        <v>693</v>
      </c>
      <c r="B510" s="3">
        <v>1</v>
      </c>
      <c r="C510" s="6">
        <f t="shared" si="12"/>
        <v>1.3513513513513514E-2</v>
      </c>
      <c r="D510" t="s">
        <v>998</v>
      </c>
      <c r="E510" s="6" t="s">
        <v>1323</v>
      </c>
    </row>
    <row r="511" spans="1:5">
      <c r="A511" s="3" t="s">
        <v>717</v>
      </c>
      <c r="B511" s="3">
        <v>1</v>
      </c>
      <c r="C511" s="6">
        <f t="shared" si="12"/>
        <v>1.3513513513513514E-2</v>
      </c>
      <c r="D511" t="s">
        <v>1014</v>
      </c>
      <c r="E511" s="6" t="s">
        <v>1337</v>
      </c>
    </row>
    <row r="512" spans="1:5">
      <c r="A512" s="3" t="s">
        <v>967</v>
      </c>
      <c r="B512" s="3">
        <v>1</v>
      </c>
      <c r="C512" s="6">
        <f t="shared" si="12"/>
        <v>1.3513513513513514E-2</v>
      </c>
      <c r="D512" t="s">
        <v>1265</v>
      </c>
      <c r="E512" s="6" t="s">
        <v>1588</v>
      </c>
    </row>
    <row r="513" spans="1:5">
      <c r="A513" s="3" t="s">
        <v>968</v>
      </c>
      <c r="B513" s="3">
        <v>1</v>
      </c>
      <c r="C513" s="6">
        <f t="shared" si="12"/>
        <v>1.3513513513513514E-2</v>
      </c>
      <c r="D513" t="s">
        <v>1266</v>
      </c>
      <c r="E513" s="6" t="s">
        <v>1589</v>
      </c>
    </row>
    <row r="514" spans="1:5">
      <c r="A514" s="3" t="s">
        <v>964</v>
      </c>
      <c r="B514" s="3">
        <v>1</v>
      </c>
      <c r="C514" s="6">
        <f t="shared" si="12"/>
        <v>1.3513513513513514E-2</v>
      </c>
      <c r="D514" t="s">
        <v>1262</v>
      </c>
      <c r="E514" s="6" t="s">
        <v>1590</v>
      </c>
    </row>
    <row r="515" spans="1:5">
      <c r="A515" s="3" t="s">
        <v>969</v>
      </c>
      <c r="B515" s="3">
        <v>1</v>
      </c>
      <c r="C515" s="6">
        <f t="shared" si="12"/>
        <v>1.3513513513513514E-2</v>
      </c>
      <c r="D515" t="s">
        <v>1267</v>
      </c>
      <c r="E515" s="6" t="s">
        <v>1591</v>
      </c>
    </row>
    <row r="516" spans="1:5">
      <c r="A516" s="3" t="s">
        <v>708</v>
      </c>
      <c r="B516" s="2">
        <v>1</v>
      </c>
      <c r="C516" s="6">
        <f t="shared" si="12"/>
        <v>1.3513513513513514E-2</v>
      </c>
      <c r="D516" t="s">
        <v>1013</v>
      </c>
      <c r="E516" s="6" t="s">
        <v>1338</v>
      </c>
    </row>
    <row r="517" spans="1:5">
      <c r="A517" s="3" t="s">
        <v>745</v>
      </c>
      <c r="B517" s="3">
        <v>1</v>
      </c>
      <c r="C517" s="6">
        <f t="shared" si="12"/>
        <v>1.3513513513513514E-2</v>
      </c>
      <c r="D517" t="s">
        <v>1025</v>
      </c>
      <c r="E517" s="6" t="s">
        <v>1350</v>
      </c>
    </row>
    <row r="518" spans="1:5">
      <c r="A518" s="3" t="s">
        <v>965</v>
      </c>
      <c r="B518" s="3">
        <v>1</v>
      </c>
      <c r="C518" s="6">
        <f t="shared" si="12"/>
        <v>1.3513513513513514E-2</v>
      </c>
      <c r="D518" t="s">
        <v>1263</v>
      </c>
      <c r="E518" s="6" t="s">
        <v>1592</v>
      </c>
    </row>
    <row r="519" spans="1:5">
      <c r="A519" s="3" t="s">
        <v>838</v>
      </c>
      <c r="B519" s="3">
        <v>1</v>
      </c>
      <c r="C519" s="6">
        <f t="shared" si="12"/>
        <v>1.3513513513513514E-2</v>
      </c>
      <c r="D519" t="s">
        <v>1115</v>
      </c>
      <c r="E519" s="6" t="s">
        <v>1454</v>
      </c>
    </row>
    <row r="520" spans="1:5">
      <c r="A520" s="3" t="s">
        <v>709</v>
      </c>
      <c r="B520" s="3">
        <v>1</v>
      </c>
      <c r="C520" s="6">
        <f t="shared" si="12"/>
        <v>1.3513513513513514E-2</v>
      </c>
      <c r="D520" t="s">
        <v>1009</v>
      </c>
      <c r="E520" s="6" t="s">
        <v>1334</v>
      </c>
    </row>
    <row r="521" spans="1:5">
      <c r="A521" s="3" t="s">
        <v>750</v>
      </c>
      <c r="B521" s="3">
        <v>1</v>
      </c>
      <c r="C521" s="6">
        <f t="shared" si="12"/>
        <v>1.3513513513513514E-2</v>
      </c>
      <c r="D521" t="s">
        <v>1005</v>
      </c>
      <c r="E521" s="6" t="s">
        <v>1330</v>
      </c>
    </row>
    <row r="522" spans="1:5">
      <c r="A522" s="3" t="s">
        <v>713</v>
      </c>
      <c r="B522" s="3">
        <v>1</v>
      </c>
      <c r="C522" s="6">
        <f t="shared" si="12"/>
        <v>1.3513513513513514E-2</v>
      </c>
      <c r="D522" t="s">
        <v>1085</v>
      </c>
      <c r="E522" s="6" t="s">
        <v>1424</v>
      </c>
    </row>
    <row r="523" spans="1:5">
      <c r="A523" s="3" t="s">
        <v>714</v>
      </c>
      <c r="B523" s="3">
        <v>1</v>
      </c>
      <c r="C523" s="6">
        <f t="shared" si="12"/>
        <v>1.3513513513513514E-2</v>
      </c>
      <c r="D523" t="s">
        <v>1086</v>
      </c>
      <c r="E523" s="6" t="s">
        <v>1425</v>
      </c>
    </row>
    <row r="524" spans="1:5">
      <c r="A524" s="3" t="s">
        <v>715</v>
      </c>
      <c r="B524" s="3">
        <v>1</v>
      </c>
      <c r="C524" s="6">
        <f t="shared" si="12"/>
        <v>1.3513513513513514E-2</v>
      </c>
      <c r="D524" t="s">
        <v>1087</v>
      </c>
      <c r="E524" s="6" t="s">
        <v>1426</v>
      </c>
    </row>
    <row r="525" spans="1:5">
      <c r="A525" s="3" t="s">
        <v>716</v>
      </c>
      <c r="B525" s="3">
        <v>1</v>
      </c>
      <c r="C525" s="6">
        <f t="shared" si="12"/>
        <v>1.3513513513513514E-2</v>
      </c>
      <c r="D525" t="s">
        <v>1088</v>
      </c>
      <c r="E525" s="6" t="s">
        <v>1427</v>
      </c>
    </row>
    <row r="526" spans="1:5">
      <c r="A526" s="3" t="s">
        <v>757</v>
      </c>
      <c r="B526" s="3">
        <v>1</v>
      </c>
      <c r="C526" s="6">
        <f t="shared" si="12"/>
        <v>1.3513513513513514E-2</v>
      </c>
      <c r="D526" t="s">
        <v>1047</v>
      </c>
      <c r="E526" s="6" t="s">
        <v>1372</v>
      </c>
    </row>
    <row r="527" spans="1:5">
      <c r="D527"/>
      <c r="E527" s="6"/>
    </row>
    <row r="528" spans="1:5" ht="15">
      <c r="A528" s="26" t="s">
        <v>1291</v>
      </c>
      <c r="B528" s="24" t="s">
        <v>653</v>
      </c>
      <c r="C528" s="24" t="s">
        <v>980</v>
      </c>
      <c r="D528" s="24" t="s">
        <v>1305</v>
      </c>
      <c r="E528" s="24" t="s">
        <v>1304</v>
      </c>
    </row>
    <row r="529" spans="1:5">
      <c r="A529" s="3" t="s">
        <v>902</v>
      </c>
      <c r="B529" s="3">
        <v>9</v>
      </c>
      <c r="C529" s="6">
        <f t="shared" ref="C529:C556" si="13">B529/10</f>
        <v>0.9</v>
      </c>
      <c r="D529" t="s">
        <v>1217</v>
      </c>
      <c r="E529" s="6" t="s">
        <v>1548</v>
      </c>
    </row>
    <row r="530" spans="1:5">
      <c r="A530" s="3" t="s">
        <v>758</v>
      </c>
      <c r="B530" s="3">
        <v>7</v>
      </c>
      <c r="C530" s="6">
        <f t="shared" si="13"/>
        <v>0.7</v>
      </c>
      <c r="D530" t="s">
        <v>1070</v>
      </c>
      <c r="E530" s="6" t="s">
        <v>1394</v>
      </c>
    </row>
    <row r="531" spans="1:5">
      <c r="A531" s="3" t="s">
        <v>728</v>
      </c>
      <c r="B531" s="3">
        <v>4</v>
      </c>
      <c r="C531" s="6">
        <f t="shared" si="13"/>
        <v>0.4</v>
      </c>
      <c r="D531" t="s">
        <v>1043</v>
      </c>
      <c r="E531" s="6" t="s">
        <v>1370</v>
      </c>
    </row>
    <row r="532" spans="1:5">
      <c r="A532" s="3" t="s">
        <v>729</v>
      </c>
      <c r="B532" s="3">
        <v>3</v>
      </c>
      <c r="C532" s="6">
        <f t="shared" si="13"/>
        <v>0.3</v>
      </c>
      <c r="D532" t="s">
        <v>1051</v>
      </c>
      <c r="E532" s="6" t="s">
        <v>1376</v>
      </c>
    </row>
    <row r="533" spans="1:5">
      <c r="A533" s="3" t="s">
        <v>730</v>
      </c>
      <c r="B533" s="3">
        <v>3</v>
      </c>
      <c r="C533" s="6">
        <f t="shared" si="13"/>
        <v>0.3</v>
      </c>
      <c r="D533" t="s">
        <v>1052</v>
      </c>
      <c r="E533" s="6" t="s">
        <v>1377</v>
      </c>
    </row>
    <row r="534" spans="1:5">
      <c r="A534" s="3" t="s">
        <v>732</v>
      </c>
      <c r="B534" s="3">
        <v>3</v>
      </c>
      <c r="C534" s="6">
        <f t="shared" si="13"/>
        <v>0.3</v>
      </c>
      <c r="D534" t="s">
        <v>1053</v>
      </c>
      <c r="E534" s="6" t="s">
        <v>1378</v>
      </c>
    </row>
    <row r="535" spans="1:5">
      <c r="A535" s="3" t="s">
        <v>739</v>
      </c>
      <c r="B535" s="3">
        <v>3</v>
      </c>
      <c r="C535" s="6">
        <f t="shared" si="13"/>
        <v>0.3</v>
      </c>
      <c r="D535" t="s">
        <v>1049</v>
      </c>
      <c r="E535" s="6" t="s">
        <v>1374</v>
      </c>
    </row>
    <row r="536" spans="1:5">
      <c r="A536" s="3" t="s">
        <v>740</v>
      </c>
      <c r="B536" s="3">
        <v>3</v>
      </c>
      <c r="C536" s="6">
        <f t="shared" si="13"/>
        <v>0.3</v>
      </c>
      <c r="D536" t="s">
        <v>1054</v>
      </c>
      <c r="E536" s="6" t="s">
        <v>1379</v>
      </c>
    </row>
    <row r="537" spans="1:5">
      <c r="A537" s="3" t="s">
        <v>741</v>
      </c>
      <c r="B537" s="3">
        <v>3</v>
      </c>
      <c r="C537" s="6">
        <f t="shared" si="13"/>
        <v>0.3</v>
      </c>
      <c r="D537" t="s">
        <v>1055</v>
      </c>
      <c r="E537" s="6" t="s">
        <v>1380</v>
      </c>
    </row>
    <row r="538" spans="1:5">
      <c r="A538" s="3" t="s">
        <v>970</v>
      </c>
      <c r="B538" s="3">
        <v>3</v>
      </c>
      <c r="C538" s="6">
        <f t="shared" si="13"/>
        <v>0.3</v>
      </c>
      <c r="D538" t="s">
        <v>1268</v>
      </c>
      <c r="E538" s="6" t="s">
        <v>1593</v>
      </c>
    </row>
    <row r="539" spans="1:5">
      <c r="A539" s="3" t="s">
        <v>972</v>
      </c>
      <c r="B539" s="3">
        <v>3</v>
      </c>
      <c r="C539" s="6">
        <f t="shared" si="13"/>
        <v>0.3</v>
      </c>
      <c r="D539" t="s">
        <v>1269</v>
      </c>
      <c r="E539" s="6" t="s">
        <v>1594</v>
      </c>
    </row>
    <row r="540" spans="1:5">
      <c r="A540" s="3" t="s">
        <v>731</v>
      </c>
      <c r="B540" s="3">
        <v>2</v>
      </c>
      <c r="C540" s="6">
        <f t="shared" si="13"/>
        <v>0.2</v>
      </c>
      <c r="D540" t="s">
        <v>1060</v>
      </c>
      <c r="E540" s="6" t="s">
        <v>1384</v>
      </c>
    </row>
    <row r="541" spans="1:5">
      <c r="A541" s="3" t="s">
        <v>733</v>
      </c>
      <c r="B541" s="3">
        <v>2</v>
      </c>
      <c r="C541" s="6">
        <f t="shared" si="13"/>
        <v>0.2</v>
      </c>
      <c r="D541" t="s">
        <v>1061</v>
      </c>
      <c r="E541" s="6" t="s">
        <v>1385</v>
      </c>
    </row>
    <row r="542" spans="1:5">
      <c r="A542" s="3" t="s">
        <v>734</v>
      </c>
      <c r="B542" s="3">
        <v>2</v>
      </c>
      <c r="C542" s="6">
        <f t="shared" si="13"/>
        <v>0.2</v>
      </c>
      <c r="D542" t="s">
        <v>1056</v>
      </c>
      <c r="E542" s="6" t="s">
        <v>1381</v>
      </c>
    </row>
    <row r="543" spans="1:5">
      <c r="A543" s="3" t="s">
        <v>735</v>
      </c>
      <c r="B543" s="3">
        <v>2</v>
      </c>
      <c r="C543" s="6">
        <f t="shared" si="13"/>
        <v>0.2</v>
      </c>
      <c r="D543" t="s">
        <v>1062</v>
      </c>
      <c r="E543" s="6" t="s">
        <v>1386</v>
      </c>
    </row>
    <row r="544" spans="1:5">
      <c r="A544" s="3" t="s">
        <v>736</v>
      </c>
      <c r="B544" s="3">
        <v>2</v>
      </c>
      <c r="C544" s="6">
        <f t="shared" si="13"/>
        <v>0.2</v>
      </c>
      <c r="D544" t="s">
        <v>1063</v>
      </c>
      <c r="E544" s="6" t="s">
        <v>1387</v>
      </c>
    </row>
    <row r="545" spans="1:5">
      <c r="A545" s="3" t="s">
        <v>737</v>
      </c>
      <c r="B545" s="3">
        <v>2</v>
      </c>
      <c r="C545" s="6">
        <f t="shared" si="13"/>
        <v>0.2</v>
      </c>
      <c r="D545" t="s">
        <v>1064</v>
      </c>
      <c r="E545" s="6" t="s">
        <v>1388</v>
      </c>
    </row>
    <row r="546" spans="1:5">
      <c r="A546" s="3" t="s">
        <v>738</v>
      </c>
      <c r="B546" s="3">
        <v>2</v>
      </c>
      <c r="C546" s="6">
        <f t="shared" si="13"/>
        <v>0.2</v>
      </c>
      <c r="D546" t="s">
        <v>1065</v>
      </c>
      <c r="E546" s="6" t="s">
        <v>1389</v>
      </c>
    </row>
    <row r="547" spans="1:5">
      <c r="A547" s="3" t="s">
        <v>742</v>
      </c>
      <c r="B547" s="3">
        <v>2</v>
      </c>
      <c r="C547" s="6">
        <f t="shared" si="13"/>
        <v>0.2</v>
      </c>
      <c r="D547" t="s">
        <v>1066</v>
      </c>
      <c r="E547" s="6" t="s">
        <v>1390</v>
      </c>
    </row>
    <row r="548" spans="1:5">
      <c r="A548" s="3" t="s">
        <v>743</v>
      </c>
      <c r="B548" s="3">
        <v>2</v>
      </c>
      <c r="C548" s="6">
        <f t="shared" si="13"/>
        <v>0.2</v>
      </c>
      <c r="D548" t="s">
        <v>1067</v>
      </c>
      <c r="E548" s="6" t="s">
        <v>1391</v>
      </c>
    </row>
    <row r="549" spans="1:5">
      <c r="A549" s="3" t="s">
        <v>971</v>
      </c>
      <c r="B549" s="3">
        <v>2</v>
      </c>
      <c r="C549" s="6">
        <f t="shared" si="13"/>
        <v>0.2</v>
      </c>
      <c r="D549" t="s">
        <v>1270</v>
      </c>
      <c r="E549" s="6" t="s">
        <v>1595</v>
      </c>
    </row>
    <row r="550" spans="1:5">
      <c r="A550" s="3" t="s">
        <v>973</v>
      </c>
      <c r="B550" s="3">
        <v>2</v>
      </c>
      <c r="C550" s="6">
        <f t="shared" si="13"/>
        <v>0.2</v>
      </c>
      <c r="D550" t="s">
        <v>1271</v>
      </c>
      <c r="E550" s="6" t="s">
        <v>1596</v>
      </c>
    </row>
    <row r="551" spans="1:5">
      <c r="A551" s="3" t="s">
        <v>690</v>
      </c>
      <c r="B551" s="3">
        <v>1</v>
      </c>
      <c r="C551" s="6">
        <f t="shared" si="13"/>
        <v>0.1</v>
      </c>
      <c r="D551" t="s">
        <v>987</v>
      </c>
      <c r="E551" s="6" t="s">
        <v>1311</v>
      </c>
    </row>
    <row r="552" spans="1:5">
      <c r="A552" s="3" t="s">
        <v>974</v>
      </c>
      <c r="B552" s="3">
        <v>1</v>
      </c>
      <c r="C552" s="6">
        <f t="shared" si="13"/>
        <v>0.1</v>
      </c>
      <c r="D552" t="s">
        <v>1272</v>
      </c>
      <c r="E552" s="6" t="s">
        <v>1597</v>
      </c>
    </row>
    <row r="553" spans="1:5">
      <c r="A553" s="3" t="s">
        <v>975</v>
      </c>
      <c r="B553" s="3">
        <v>1</v>
      </c>
      <c r="C553" s="6">
        <f t="shared" si="13"/>
        <v>0.1</v>
      </c>
      <c r="D553" t="s">
        <v>1273</v>
      </c>
      <c r="E553" s="6" t="s">
        <v>1598</v>
      </c>
    </row>
    <row r="554" spans="1:5">
      <c r="A554" s="3" t="s">
        <v>976</v>
      </c>
      <c r="B554" s="3">
        <v>1</v>
      </c>
      <c r="C554" s="6">
        <f t="shared" si="13"/>
        <v>0.1</v>
      </c>
      <c r="D554" t="s">
        <v>1274</v>
      </c>
      <c r="E554" s="3" t="s">
        <v>1599</v>
      </c>
    </row>
    <row r="555" spans="1:5">
      <c r="A555" s="3" t="s">
        <v>687</v>
      </c>
      <c r="B555" s="2">
        <v>1</v>
      </c>
      <c r="C555" s="6">
        <f t="shared" si="13"/>
        <v>0.1</v>
      </c>
      <c r="D555" s="1" t="s">
        <v>983</v>
      </c>
      <c r="E555" s="3" t="s">
        <v>1307</v>
      </c>
    </row>
    <row r="556" spans="1:5">
      <c r="A556" s="3" t="s">
        <v>977</v>
      </c>
      <c r="B556" s="3">
        <v>1</v>
      </c>
      <c r="C556" s="6">
        <f t="shared" si="13"/>
        <v>0.1</v>
      </c>
      <c r="D556" t="s">
        <v>1275</v>
      </c>
      <c r="E556" s="6" t="s">
        <v>1600</v>
      </c>
    </row>
    <row r="557" spans="1:5">
      <c r="D557"/>
      <c r="E557" s="6"/>
    </row>
    <row r="558" spans="1:5" ht="15">
      <c r="A558" s="26" t="s">
        <v>1668</v>
      </c>
      <c r="B558" s="24" t="s">
        <v>653</v>
      </c>
      <c r="C558" s="24" t="s">
        <v>980</v>
      </c>
      <c r="D558" s="24" t="s">
        <v>1305</v>
      </c>
      <c r="E558" s="24" t="s">
        <v>1304</v>
      </c>
    </row>
    <row r="559" spans="1:5">
      <c r="A559" s="3" t="s">
        <v>686</v>
      </c>
      <c r="B559" s="3">
        <v>2</v>
      </c>
      <c r="C559" s="6">
        <f t="shared" ref="C559:C573" si="14">B559/3</f>
        <v>0.66666666666666663</v>
      </c>
      <c r="D559" t="s">
        <v>982</v>
      </c>
      <c r="E559" s="6" t="s">
        <v>1306</v>
      </c>
    </row>
    <row r="560" spans="1:5">
      <c r="A560" s="3" t="s">
        <v>687</v>
      </c>
      <c r="B560" s="3">
        <v>2</v>
      </c>
      <c r="C560" s="6">
        <f t="shared" si="14"/>
        <v>0.66666666666666663</v>
      </c>
      <c r="D560" t="s">
        <v>983</v>
      </c>
      <c r="E560" s="6" t="s">
        <v>1307</v>
      </c>
    </row>
    <row r="561" spans="1:6">
      <c r="A561" s="3" t="s">
        <v>978</v>
      </c>
      <c r="B561" s="3">
        <v>2</v>
      </c>
      <c r="C561" s="6">
        <f t="shared" si="14"/>
        <v>0.66666666666666663</v>
      </c>
      <c r="D561" t="s">
        <v>1276</v>
      </c>
      <c r="E561" s="6" t="s">
        <v>1601</v>
      </c>
    </row>
    <row r="562" spans="1:6">
      <c r="A562" s="3" t="s">
        <v>689</v>
      </c>
      <c r="B562" s="3">
        <v>1</v>
      </c>
      <c r="C562" s="6">
        <f t="shared" si="14"/>
        <v>0.33333333333333331</v>
      </c>
      <c r="D562" t="s">
        <v>985</v>
      </c>
      <c r="E562" s="6" t="s">
        <v>1309</v>
      </c>
    </row>
    <row r="563" spans="1:6">
      <c r="A563" s="3" t="s">
        <v>700</v>
      </c>
      <c r="B563" s="3">
        <v>1</v>
      </c>
      <c r="C563" s="6">
        <f t="shared" si="14"/>
        <v>0.33333333333333331</v>
      </c>
      <c r="D563" t="s">
        <v>986</v>
      </c>
      <c r="E563" s="6" t="s">
        <v>1310</v>
      </c>
    </row>
    <row r="564" spans="1:6">
      <c r="A564" s="3" t="s">
        <v>690</v>
      </c>
      <c r="B564" s="3">
        <v>1</v>
      </c>
      <c r="C564" s="6">
        <f t="shared" si="14"/>
        <v>0.33333333333333331</v>
      </c>
      <c r="D564" t="s">
        <v>987</v>
      </c>
      <c r="E564" s="6" t="s">
        <v>1311</v>
      </c>
    </row>
    <row r="565" spans="1:6">
      <c r="A565" s="3" t="s">
        <v>701</v>
      </c>
      <c r="B565" s="3">
        <v>1</v>
      </c>
      <c r="C565" s="6">
        <f t="shared" si="14"/>
        <v>0.33333333333333331</v>
      </c>
      <c r="D565" t="s">
        <v>989</v>
      </c>
      <c r="E565" s="6" t="s">
        <v>1313</v>
      </c>
    </row>
    <row r="566" spans="1:6">
      <c r="A566" s="3" t="s">
        <v>702</v>
      </c>
      <c r="B566" s="2">
        <v>1</v>
      </c>
      <c r="C566" s="6">
        <f t="shared" si="14"/>
        <v>0.33333333333333331</v>
      </c>
      <c r="D566" t="s">
        <v>990</v>
      </c>
      <c r="E566" s="6" t="s">
        <v>1314</v>
      </c>
    </row>
    <row r="567" spans="1:6">
      <c r="A567" s="3" t="s">
        <v>692</v>
      </c>
      <c r="B567" s="3">
        <v>1</v>
      </c>
      <c r="C567" s="6">
        <f t="shared" si="14"/>
        <v>0.33333333333333331</v>
      </c>
      <c r="D567" t="s">
        <v>984</v>
      </c>
      <c r="E567" s="6" t="s">
        <v>1308</v>
      </c>
    </row>
    <row r="568" spans="1:6">
      <c r="A568" s="3" t="s">
        <v>979</v>
      </c>
      <c r="B568" s="3">
        <v>1</v>
      </c>
      <c r="C568" s="6">
        <f t="shared" si="14"/>
        <v>0.33333333333333331</v>
      </c>
      <c r="D568" t="s">
        <v>1277</v>
      </c>
      <c r="E568" s="6" t="s">
        <v>1602</v>
      </c>
    </row>
    <row r="569" spans="1:6">
      <c r="A569" s="3" t="s">
        <v>682</v>
      </c>
      <c r="B569" s="3">
        <v>1</v>
      </c>
      <c r="C569" s="6">
        <f t="shared" si="14"/>
        <v>0.33333333333333331</v>
      </c>
      <c r="D569" t="s">
        <v>1278</v>
      </c>
      <c r="E569" s="6" t="s">
        <v>1603</v>
      </c>
    </row>
    <row r="570" spans="1:6">
      <c r="A570" s="3" t="s">
        <v>64</v>
      </c>
      <c r="B570" s="3">
        <v>1</v>
      </c>
      <c r="C570" s="6">
        <f t="shared" si="14"/>
        <v>0.33333333333333331</v>
      </c>
      <c r="D570" t="s">
        <v>1279</v>
      </c>
      <c r="E570" s="6" t="s">
        <v>1604</v>
      </c>
    </row>
    <row r="571" spans="1:6">
      <c r="A571" s="3" t="s">
        <v>683</v>
      </c>
      <c r="B571" s="3">
        <v>1</v>
      </c>
      <c r="C571" s="6">
        <f t="shared" si="14"/>
        <v>0.33333333333333331</v>
      </c>
      <c r="D571" t="s">
        <v>1280</v>
      </c>
      <c r="E571" s="6" t="s">
        <v>1605</v>
      </c>
    </row>
    <row r="572" spans="1:6">
      <c r="A572" s="3" t="s">
        <v>684</v>
      </c>
      <c r="B572" s="3">
        <v>1</v>
      </c>
      <c r="C572" s="6">
        <f t="shared" si="14"/>
        <v>0.33333333333333331</v>
      </c>
      <c r="D572" t="s">
        <v>1281</v>
      </c>
      <c r="E572" s="6" t="s">
        <v>1606</v>
      </c>
    </row>
    <row r="573" spans="1:6">
      <c r="A573" s="3" t="s">
        <v>685</v>
      </c>
      <c r="B573" s="3">
        <v>1</v>
      </c>
      <c r="C573" s="6">
        <f t="shared" si="14"/>
        <v>0.33333333333333331</v>
      </c>
      <c r="D573" t="s">
        <v>1282</v>
      </c>
      <c r="E573" s="6" t="s">
        <v>1607</v>
      </c>
    </row>
    <row r="574" spans="1:6">
      <c r="D574"/>
      <c r="E574" s="6"/>
    </row>
    <row r="575" spans="1:6">
      <c r="D575" s="14"/>
      <c r="F575" s="1"/>
    </row>
    <row r="576" spans="1:6">
      <c r="D576" s="14"/>
      <c r="F576" s="1"/>
    </row>
    <row r="577" spans="2:6">
      <c r="D577" s="14"/>
      <c r="F577" s="1"/>
    </row>
    <row r="578" spans="2:6">
      <c r="D578" s="14"/>
      <c r="F578" s="1"/>
    </row>
    <row r="579" spans="2:6">
      <c r="D579" s="14"/>
    </row>
    <row r="580" spans="2:6">
      <c r="B580" s="2"/>
      <c r="C580" s="2"/>
      <c r="E580" s="2"/>
      <c r="F580" s="1"/>
    </row>
    <row r="581" spans="2:6">
      <c r="D581" s="14"/>
      <c r="F581" s="1"/>
    </row>
    <row r="582" spans="2:6">
      <c r="B582" s="2"/>
      <c r="C582" s="2"/>
      <c r="D582" s="14"/>
      <c r="F582" s="1"/>
    </row>
    <row r="583" spans="2:6">
      <c r="D583" s="14"/>
      <c r="F583" s="1"/>
    </row>
    <row r="584" spans="2:6">
      <c r="D584" s="14"/>
      <c r="F584" s="1"/>
    </row>
    <row r="585" spans="2:6">
      <c r="D585" s="14"/>
      <c r="F585" s="1"/>
    </row>
    <row r="586" spans="2:6">
      <c r="D586" s="14"/>
      <c r="F586" s="1"/>
    </row>
    <row r="587" spans="2:6">
      <c r="D587" s="14"/>
      <c r="F587" s="1"/>
    </row>
    <row r="588" spans="2:6">
      <c r="D588" s="14"/>
      <c r="F588" s="1"/>
    </row>
    <row r="589" spans="2:6">
      <c r="D589" s="14"/>
      <c r="F589" s="1"/>
    </row>
    <row r="590" spans="2:6">
      <c r="D590" s="14"/>
      <c r="F590" s="1"/>
    </row>
    <row r="591" spans="2:6">
      <c r="D591" s="14"/>
      <c r="F591" s="1"/>
    </row>
    <row r="592" spans="2:6">
      <c r="D592" s="14"/>
      <c r="F592" s="1"/>
    </row>
    <row r="593" spans="4:6">
      <c r="D593" s="14"/>
      <c r="F593" s="1"/>
    </row>
    <row r="594" spans="4:6">
      <c r="D594" s="14"/>
      <c r="F594" s="1"/>
    </row>
    <row r="595" spans="4:6">
      <c r="D595" s="14"/>
      <c r="F595" s="1"/>
    </row>
    <row r="596" spans="4:6">
      <c r="D596" s="14"/>
      <c r="F596" s="1"/>
    </row>
    <row r="597" spans="4:6">
      <c r="D597" s="14"/>
      <c r="F597" s="1"/>
    </row>
    <row r="598" spans="4:6">
      <c r="D598" s="14"/>
      <c r="F598" s="1"/>
    </row>
    <row r="599" spans="4:6">
      <c r="D599" s="14"/>
      <c r="F599" s="1"/>
    </row>
    <row r="600" spans="4:6">
      <c r="D600" s="14"/>
      <c r="F600" s="1"/>
    </row>
    <row r="601" spans="4:6">
      <c r="D601" s="14"/>
      <c r="F601" s="1"/>
    </row>
    <row r="602" spans="4:6">
      <c r="D602" s="14"/>
      <c r="F602" s="1"/>
    </row>
    <row r="603" spans="4:6">
      <c r="D603" s="14"/>
      <c r="F603" s="1"/>
    </row>
    <row r="604" spans="4:6">
      <c r="D604" s="14"/>
      <c r="F604" s="1"/>
    </row>
    <row r="605" spans="4:6">
      <c r="D605" s="14"/>
      <c r="F605" s="1"/>
    </row>
    <row r="606" spans="4:6">
      <c r="D606" s="14"/>
      <c r="F606" s="1"/>
    </row>
    <row r="607" spans="4:6">
      <c r="D607" s="14"/>
      <c r="F607" s="1"/>
    </row>
    <row r="608" spans="4:6">
      <c r="D608" s="14"/>
      <c r="F608" s="1"/>
    </row>
    <row r="609" spans="2:6">
      <c r="D609" s="14"/>
    </row>
    <row r="610" spans="2:6">
      <c r="B610" s="2"/>
      <c r="C610" s="2"/>
      <c r="E610" s="2"/>
      <c r="F610" s="1"/>
    </row>
    <row r="611" spans="2:6">
      <c r="D611" s="14"/>
      <c r="F611" s="1"/>
    </row>
    <row r="612" spans="2:6">
      <c r="D612" s="14"/>
      <c r="F612" s="1"/>
    </row>
    <row r="613" spans="2:6">
      <c r="D613" s="14"/>
      <c r="F613" s="1"/>
    </row>
    <row r="614" spans="2:6">
      <c r="D614" s="14"/>
      <c r="F614" s="1"/>
    </row>
    <row r="615" spans="2:6">
      <c r="D615" s="14"/>
      <c r="F615" s="1"/>
    </row>
    <row r="616" spans="2:6">
      <c r="D616" s="14"/>
      <c r="F616" s="1"/>
    </row>
    <row r="617" spans="2:6">
      <c r="D617" s="14"/>
      <c r="F617" s="1"/>
    </row>
    <row r="618" spans="2:6">
      <c r="D618" s="14"/>
      <c r="F618" s="1"/>
    </row>
    <row r="619" spans="2:6">
      <c r="D619" s="14"/>
      <c r="F619" s="1"/>
    </row>
    <row r="620" spans="2:6">
      <c r="D620" s="14"/>
      <c r="F620" s="1"/>
    </row>
    <row r="621" spans="2:6">
      <c r="D621" s="14"/>
      <c r="F621" s="1"/>
    </row>
    <row r="622" spans="2:6">
      <c r="D622" s="14"/>
      <c r="F622" s="1"/>
    </row>
    <row r="623" spans="2:6">
      <c r="D623" s="14"/>
      <c r="F623" s="1"/>
    </row>
    <row r="624" spans="2:6">
      <c r="D624" s="14"/>
      <c r="F624" s="1"/>
    </row>
    <row r="625" spans="2:6">
      <c r="D625" s="14"/>
      <c r="F625" s="1"/>
    </row>
    <row r="626" spans="2:6">
      <c r="D626" s="14"/>
      <c r="F626" s="1"/>
    </row>
    <row r="628" spans="2:6">
      <c r="B628" s="2"/>
      <c r="C628" s="2"/>
      <c r="E628" s="2"/>
      <c r="F628" s="1"/>
    </row>
    <row r="629" spans="2:6">
      <c r="D629" s="14"/>
    </row>
    <row r="630" spans="2:6">
      <c r="D630" s="14"/>
    </row>
    <row r="631" spans="2:6">
      <c r="D631" s="14"/>
    </row>
    <row r="632" spans="2:6">
      <c r="D632" s="14"/>
    </row>
    <row r="633" spans="2:6">
      <c r="D633" s="14"/>
    </row>
    <row r="634" spans="2:6">
      <c r="D634" s="14"/>
    </row>
    <row r="635" spans="2:6">
      <c r="D635" s="14"/>
    </row>
    <row r="636" spans="2:6">
      <c r="D636" s="14"/>
    </row>
    <row r="637" spans="2:6">
      <c r="D637" s="14"/>
    </row>
    <row r="638" spans="2:6">
      <c r="D638" s="14"/>
    </row>
    <row r="639" spans="2:6">
      <c r="D639" s="14"/>
    </row>
    <row r="640" spans="2:6">
      <c r="D640" s="14"/>
    </row>
    <row r="641" spans="4:4">
      <c r="D641" s="14"/>
    </row>
    <row r="642" spans="4:4">
      <c r="D642" s="14"/>
    </row>
    <row r="643" spans="4:4">
      <c r="D643" s="14"/>
    </row>
  </sheetData>
  <sortState xmlns:xlrd2="http://schemas.microsoft.com/office/spreadsheetml/2017/richdata2" ref="H47:H49">
    <sortCondition ref="H47:H49"/>
  </sortState>
  <conditionalFormatting sqref="B12:B52">
    <cfRule type="cellIs" dxfId="0" priority="1" operator="lessThan">
      <formula>0.33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Clustering UMAP plot</vt:lpstr>
      <vt:lpstr>Frequent Targets per 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Ribeiro</dc:creator>
  <cp:lastModifiedBy>Caio Ribeiro</cp:lastModifiedBy>
  <dcterms:created xsi:type="dcterms:W3CDTF">2024-08-13T16:12:08Z</dcterms:created>
  <dcterms:modified xsi:type="dcterms:W3CDTF">2026-04-26T14:19:50Z</dcterms:modified>
</cp:coreProperties>
</file>