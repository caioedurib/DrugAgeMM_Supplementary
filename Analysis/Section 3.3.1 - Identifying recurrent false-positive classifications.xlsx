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Documents\MMDrugAge_Supplementary\DrugAgeMM_Supplementary\Analysis\"/>
    </mc:Choice>
  </mc:AlternateContent>
  <xr:revisionPtr revIDLastSave="0" documentId="13_ncr:1_{9D510BC7-A79B-401D-A528-76B32AD89120}" xr6:coauthVersionLast="47" xr6:coauthVersionMax="47" xr10:uidLastSave="{00000000-0000-0000-0000-000000000000}"/>
  <bookViews>
    <workbookView xWindow="-28920" yWindow="-120" windowWidth="29040" windowHeight="15840" xr2:uid="{860BA0F2-27EF-4568-AB5A-5D01A58DD509}"/>
  </bookViews>
  <sheets>
    <sheet name="False-positive classifications" sheetId="1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2" l="1"/>
  <c r="C33" i="12"/>
  <c r="C32" i="12"/>
  <c r="C31" i="12"/>
  <c r="C30" i="12"/>
  <c r="C29" i="12"/>
  <c r="C18" i="12"/>
  <c r="C28" i="12"/>
  <c r="C27" i="12"/>
  <c r="C26" i="12"/>
  <c r="C25" i="12"/>
  <c r="C24" i="12"/>
  <c r="C23" i="12"/>
  <c r="C22" i="12"/>
  <c r="C17" i="12"/>
  <c r="C16" i="12"/>
  <c r="C21" i="12"/>
  <c r="C20" i="12"/>
  <c r="C19" i="12"/>
  <c r="C14" i="12"/>
  <c r="C13" i="12"/>
  <c r="C35" i="12"/>
  <c r="C15" i="12"/>
  <c r="C10" i="12"/>
  <c r="C11" i="12"/>
  <c r="C5" i="12"/>
  <c r="C4" i="12"/>
  <c r="C3" i="12"/>
  <c r="C7" i="12"/>
  <c r="C8" i="12"/>
  <c r="C9" i="12"/>
  <c r="C12" i="12"/>
  <c r="C6" i="12"/>
</calcChain>
</file>

<file path=xl/sharedStrings.xml><?xml version="1.0" encoding="utf-8"?>
<sst xmlns="http://schemas.openxmlformats.org/spreadsheetml/2006/main" count="154" uniqueCount="49">
  <si>
    <t>Putrescine</t>
  </si>
  <si>
    <t>Glycine</t>
  </si>
  <si>
    <t>Candesartan cilexetil</t>
  </si>
  <si>
    <t>Captopril</t>
  </si>
  <si>
    <t>INT-767d</t>
  </si>
  <si>
    <t>LY444711 (ghrelin agonist)</t>
  </si>
  <si>
    <t>Alpha-ketoglutarate</t>
  </si>
  <si>
    <t>Sulindac</t>
  </si>
  <si>
    <t>Taxifolin</t>
  </si>
  <si>
    <t>Dehydroepiandrosterone sulfate</t>
  </si>
  <si>
    <t>Quercetin</t>
  </si>
  <si>
    <t>Nicotinamide</t>
  </si>
  <si>
    <t>Nicotinamide mononucleotide</t>
  </si>
  <si>
    <t>Hexachlorophene</t>
  </si>
  <si>
    <t>2-Mercaptoethylamine Hydrochloride</t>
  </si>
  <si>
    <t>Methylene blue</t>
  </si>
  <si>
    <t>Oridonin</t>
  </si>
  <si>
    <t>MIF098</t>
  </si>
  <si>
    <t>Beta-Guanidinopropionic acid (bGPA)</t>
  </si>
  <si>
    <t>TM5441</t>
  </si>
  <si>
    <t>Beta-Carotene (trans)</t>
  </si>
  <si>
    <t>Mycophenolic acid</t>
  </si>
  <si>
    <t>N-tert-butyl-alpha-phenylnitrone</t>
  </si>
  <si>
    <t>Alpha-lipoic acid</t>
  </si>
  <si>
    <t>Chlorpheniramine</t>
  </si>
  <si>
    <t>Chlorpromazine</t>
  </si>
  <si>
    <t>L-methionine</t>
  </si>
  <si>
    <t>Chloroquine</t>
  </si>
  <si>
    <t>N-acetyl-L-cysteine</t>
  </si>
  <si>
    <t>Nordihydroguaiaretic acid</t>
  </si>
  <si>
    <t>Metformin</t>
  </si>
  <si>
    <t>Compound</t>
  </si>
  <si>
    <t>FA - InterPro (M)</t>
  </si>
  <si>
    <t>IE - All Categories (M)</t>
  </si>
  <si>
    <t>IE - GO Components (M)</t>
  </si>
  <si>
    <t>IE - KEGG Pathways (M)</t>
  </si>
  <si>
    <t>IE - GO Process (M)</t>
  </si>
  <si>
    <t>IE - GO Components (M+F)</t>
  </si>
  <si>
    <t>IE - KEGG Pathways (M+F)</t>
  </si>
  <si>
    <t>IE - Reactome Pathways (M+F)</t>
  </si>
  <si>
    <t>IE - WikiPayhways (M+F)</t>
  </si>
  <si>
    <t>X</t>
  </si>
  <si>
    <t>Freq</t>
  </si>
  <si>
    <t>PubChem_ID</t>
  </si>
  <si>
    <t>N/A</t>
  </si>
  <si>
    <t>Mol. Fingerprints (M+F)</t>
  </si>
  <si>
    <t>2,2'-Diaminodiethyl Disulfide Dihydrochloride</t>
  </si>
  <si>
    <t>Acetaminophen</t>
  </si>
  <si>
    <t>Top 10 models (X means the compound was a false-positive for the model. N/A means the compound was not present in the data for that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</si>
</sst>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5" xfId="0" applyBorder="1"/>
    <xf numFmtId="0" fontId="3" fillId="0" borderId="0" xfId="0" applyFont="1"/>
    <xf numFmtId="0" fontId="0" fillId="0" borderId="7" xfId="0" applyBorder="1" applyAlignment="1">
      <alignment horizontal="center"/>
    </xf>
    <xf numFmtId="0" fontId="0" fillId="3" borderId="5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0" fillId="0" borderId="1" xfId="0" applyFill="1" applyBorder="1"/>
    <xf numFmtId="0" fontId="0" fillId="0" borderId="4" xfId="0" applyFill="1" applyBorder="1"/>
    <xf numFmtId="0" fontId="0" fillId="0" borderId="6" xfId="0" applyFill="1" applyBorder="1"/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70BF9BE4-8069-48D9-92E7-415E10047437}"/>
  </cellStyles>
  <dxfs count="6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88AE-0E8F-4EF5-979E-9D7E9A440166}">
  <dimension ref="A1:M35"/>
  <sheetViews>
    <sheetView tabSelected="1" workbookViewId="0">
      <selection activeCell="B4" sqref="B4"/>
    </sheetView>
  </sheetViews>
  <sheetFormatPr defaultRowHeight="15" x14ac:dyDescent="0.25"/>
  <cols>
    <col min="1" max="1" width="48.85546875" customWidth="1"/>
    <col min="2" max="2" width="12.42578125" bestFit="1" customWidth="1"/>
    <col min="4" max="12" width="14.28515625" style="1" customWidth="1"/>
    <col min="13" max="13" width="12.85546875" customWidth="1"/>
  </cols>
  <sheetData>
    <row r="1" spans="1:13" x14ac:dyDescent="0.25">
      <c r="A1" s="27" t="s">
        <v>31</v>
      </c>
      <c r="B1" s="27" t="s">
        <v>43</v>
      </c>
      <c r="C1" s="25" t="s">
        <v>42</v>
      </c>
      <c r="D1" s="25" t="s">
        <v>48</v>
      </c>
      <c r="E1" s="25"/>
      <c r="F1" s="25"/>
      <c r="G1" s="25"/>
      <c r="H1" s="25"/>
      <c r="I1" s="25"/>
      <c r="J1" s="25"/>
      <c r="K1" s="25"/>
      <c r="L1" s="25"/>
      <c r="M1" s="25"/>
    </row>
    <row r="2" spans="1:13" ht="45.75" thickBot="1" x14ac:dyDescent="0.3">
      <c r="A2" s="28"/>
      <c r="B2" s="28"/>
      <c r="C2" s="26"/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45</v>
      </c>
    </row>
    <row r="3" spans="1:13" x14ac:dyDescent="0.25">
      <c r="A3" s="22" t="s">
        <v>5</v>
      </c>
      <c r="B3" s="4">
        <v>91229598</v>
      </c>
      <c r="C3" s="4">
        <f>COUNTIF(D3:M3,"X")/10</f>
        <v>1</v>
      </c>
      <c r="D3" s="5" t="s">
        <v>41</v>
      </c>
      <c r="E3" s="5" t="s">
        <v>41</v>
      </c>
      <c r="F3" s="5" t="s">
        <v>41</v>
      </c>
      <c r="G3" s="5" t="s">
        <v>41</v>
      </c>
      <c r="H3" s="5" t="s">
        <v>41</v>
      </c>
      <c r="I3" s="5" t="s">
        <v>41</v>
      </c>
      <c r="J3" s="5" t="s">
        <v>41</v>
      </c>
      <c r="K3" s="5" t="s">
        <v>41</v>
      </c>
      <c r="L3" s="5" t="s">
        <v>41</v>
      </c>
      <c r="M3" s="6" t="s">
        <v>41</v>
      </c>
    </row>
    <row r="4" spans="1:13" x14ac:dyDescent="0.25">
      <c r="A4" s="23" t="s">
        <v>0</v>
      </c>
      <c r="B4" s="13">
        <v>1045</v>
      </c>
      <c r="C4" s="13">
        <f>COUNTIF(D4:M4,"X")/5</f>
        <v>1</v>
      </c>
      <c r="D4" s="15" t="s">
        <v>44</v>
      </c>
      <c r="E4" s="15" t="s">
        <v>44</v>
      </c>
      <c r="F4" s="15" t="s">
        <v>44</v>
      </c>
      <c r="G4" s="15" t="s">
        <v>44</v>
      </c>
      <c r="H4" s="15" t="s">
        <v>44</v>
      </c>
      <c r="I4" s="14" t="s">
        <v>41</v>
      </c>
      <c r="J4" s="14" t="s">
        <v>41</v>
      </c>
      <c r="K4" s="14" t="s">
        <v>41</v>
      </c>
      <c r="L4" s="14" t="s">
        <v>41</v>
      </c>
      <c r="M4" s="7" t="s">
        <v>41</v>
      </c>
    </row>
    <row r="5" spans="1:13" x14ac:dyDescent="0.25">
      <c r="A5" s="23" t="s">
        <v>24</v>
      </c>
      <c r="B5" s="13">
        <v>2725</v>
      </c>
      <c r="C5" s="13">
        <f>COUNTIF(D5:M5,"X")/5</f>
        <v>0.8</v>
      </c>
      <c r="D5" s="15" t="s">
        <v>44</v>
      </c>
      <c r="E5" s="15" t="s">
        <v>44</v>
      </c>
      <c r="F5" s="15" t="s">
        <v>44</v>
      </c>
      <c r="G5" s="15" t="s">
        <v>44</v>
      </c>
      <c r="H5" s="15" t="s">
        <v>44</v>
      </c>
      <c r="I5" s="14" t="s">
        <v>41</v>
      </c>
      <c r="J5" s="14" t="s">
        <v>41</v>
      </c>
      <c r="K5" s="14" t="s">
        <v>41</v>
      </c>
      <c r="L5" s="14" t="s">
        <v>41</v>
      </c>
      <c r="M5" s="9"/>
    </row>
    <row r="6" spans="1:13" x14ac:dyDescent="0.25">
      <c r="A6" s="23" t="s">
        <v>9</v>
      </c>
      <c r="B6" s="13">
        <v>5881</v>
      </c>
      <c r="C6" s="13">
        <f>COUNTIF(D6:M6,"X")/10</f>
        <v>0.7</v>
      </c>
      <c r="D6" s="14" t="s">
        <v>41</v>
      </c>
      <c r="E6" s="14" t="s">
        <v>41</v>
      </c>
      <c r="F6" s="14" t="s">
        <v>41</v>
      </c>
      <c r="G6" s="14" t="s">
        <v>41</v>
      </c>
      <c r="H6" s="14" t="s">
        <v>41</v>
      </c>
      <c r="I6" s="14" t="s">
        <v>41</v>
      </c>
      <c r="J6" s="14" t="s">
        <v>41</v>
      </c>
      <c r="K6" s="14"/>
      <c r="L6" s="14"/>
      <c r="M6" s="9"/>
    </row>
    <row r="7" spans="1:13" x14ac:dyDescent="0.25">
      <c r="A7" s="23" t="s">
        <v>14</v>
      </c>
      <c r="B7" s="13">
        <v>6058</v>
      </c>
      <c r="C7" s="13">
        <f>COUNTIF(D7:M7,"X")/10</f>
        <v>0.7</v>
      </c>
      <c r="D7" s="14"/>
      <c r="E7" s="14" t="s">
        <v>41</v>
      </c>
      <c r="F7" s="14" t="s">
        <v>41</v>
      </c>
      <c r="G7" s="14"/>
      <c r="H7" s="14" t="s">
        <v>41</v>
      </c>
      <c r="I7" s="14"/>
      <c r="J7" s="14" t="s">
        <v>41</v>
      </c>
      <c r="K7" s="14" t="s">
        <v>41</v>
      </c>
      <c r="L7" s="14" t="s">
        <v>41</v>
      </c>
      <c r="M7" s="12" t="s">
        <v>41</v>
      </c>
    </row>
    <row r="8" spans="1:13" ht="15.75" thickBot="1" x14ac:dyDescent="0.3">
      <c r="A8" s="24" t="s">
        <v>8</v>
      </c>
      <c r="B8" s="11">
        <v>439533</v>
      </c>
      <c r="C8" s="11">
        <f>COUNTIF(D8:M8,"X")/10</f>
        <v>0.6</v>
      </c>
      <c r="D8" s="20" t="s">
        <v>41</v>
      </c>
      <c r="E8" s="20"/>
      <c r="F8" s="20" t="s">
        <v>41</v>
      </c>
      <c r="G8" s="20"/>
      <c r="H8" s="20" t="s">
        <v>41</v>
      </c>
      <c r="I8" s="20" t="s">
        <v>41</v>
      </c>
      <c r="J8" s="20" t="s">
        <v>41</v>
      </c>
      <c r="K8" s="20"/>
      <c r="L8" s="20" t="s">
        <v>41</v>
      </c>
      <c r="M8" s="21"/>
    </row>
    <row r="9" spans="1:13" s="10" customFormat="1" x14ac:dyDescent="0.25">
      <c r="A9" s="16" t="s">
        <v>15</v>
      </c>
      <c r="B9" s="17">
        <v>4139</v>
      </c>
      <c r="C9" s="13">
        <f>COUNTIF(D9:M9,"X")/10</f>
        <v>0.5</v>
      </c>
      <c r="D9" s="18"/>
      <c r="E9" s="18" t="s">
        <v>41</v>
      </c>
      <c r="F9" s="18" t="s">
        <v>41</v>
      </c>
      <c r="G9" s="18" t="s">
        <v>41</v>
      </c>
      <c r="H9" s="18" t="s">
        <v>41</v>
      </c>
      <c r="I9" s="18"/>
      <c r="J9" s="18" t="s">
        <v>41</v>
      </c>
      <c r="K9" s="18"/>
      <c r="L9" s="18"/>
      <c r="M9" s="16"/>
    </row>
    <row r="10" spans="1:13" s="10" customFormat="1" x14ac:dyDescent="0.25">
      <c r="A10" s="16" t="s">
        <v>18</v>
      </c>
      <c r="B10" s="17">
        <v>67701</v>
      </c>
      <c r="C10" s="13">
        <f>COUNTIF(D10:M10,"X")/9</f>
        <v>0.44444444444444442</v>
      </c>
      <c r="D10" s="19" t="s">
        <v>44</v>
      </c>
      <c r="E10" s="18"/>
      <c r="F10" s="18" t="s">
        <v>41</v>
      </c>
      <c r="G10" s="18"/>
      <c r="H10" s="18" t="s">
        <v>41</v>
      </c>
      <c r="I10" s="18" t="s">
        <v>41</v>
      </c>
      <c r="J10" s="18"/>
      <c r="K10" s="18"/>
      <c r="L10" s="18" t="s">
        <v>41</v>
      </c>
      <c r="M10" s="16"/>
    </row>
    <row r="11" spans="1:13" s="10" customFormat="1" x14ac:dyDescent="0.25">
      <c r="A11" s="16" t="s">
        <v>25</v>
      </c>
      <c r="B11" s="17">
        <v>2726</v>
      </c>
      <c r="C11" s="13">
        <f>COUNTIF(D11:M11,"X")/5</f>
        <v>0.4</v>
      </c>
      <c r="D11" s="19" t="s">
        <v>44</v>
      </c>
      <c r="E11" s="19" t="s">
        <v>44</v>
      </c>
      <c r="F11" s="19" t="s">
        <v>44</v>
      </c>
      <c r="G11" s="19" t="s">
        <v>44</v>
      </c>
      <c r="H11" s="19" t="s">
        <v>44</v>
      </c>
      <c r="I11" s="18"/>
      <c r="J11" s="18"/>
      <c r="K11" s="18" t="s">
        <v>41</v>
      </c>
      <c r="L11" s="18" t="s">
        <v>41</v>
      </c>
      <c r="M11" s="16"/>
    </row>
    <row r="12" spans="1:13" s="10" customFormat="1" x14ac:dyDescent="0.25">
      <c r="A12" s="16" t="s">
        <v>12</v>
      </c>
      <c r="B12" s="17">
        <v>14180</v>
      </c>
      <c r="C12" s="13">
        <f>COUNTIF(D12:M12,"X")/10</f>
        <v>0.4</v>
      </c>
      <c r="D12" s="18" t="s">
        <v>41</v>
      </c>
      <c r="E12" s="18" t="s">
        <v>41</v>
      </c>
      <c r="F12" s="18"/>
      <c r="G12" s="18"/>
      <c r="H12" s="18" t="s">
        <v>41</v>
      </c>
      <c r="I12" s="18"/>
      <c r="J12" s="18"/>
      <c r="K12" s="18"/>
      <c r="L12" s="18" t="s">
        <v>41</v>
      </c>
      <c r="M12" s="16"/>
    </row>
    <row r="13" spans="1:13" x14ac:dyDescent="0.25">
      <c r="A13" t="s">
        <v>21</v>
      </c>
      <c r="B13" s="2">
        <v>446541</v>
      </c>
      <c r="C13" s="2">
        <f>COUNTIF(D13:M13,"X")/10</f>
        <v>0.3</v>
      </c>
      <c r="H13" s="1" t="s">
        <v>41</v>
      </c>
      <c r="I13" s="1" t="s">
        <v>41</v>
      </c>
      <c r="L13" s="1" t="s">
        <v>41</v>
      </c>
    </row>
    <row r="14" spans="1:13" x14ac:dyDescent="0.25">
      <c r="A14" t="s">
        <v>19</v>
      </c>
      <c r="B14" s="2">
        <v>44250349</v>
      </c>
      <c r="C14" s="2">
        <f>COUNTIF(D14:M14,"X")/10</f>
        <v>0.3</v>
      </c>
      <c r="F14" s="1" t="s">
        <v>41</v>
      </c>
      <c r="H14" s="1" t="s">
        <v>41</v>
      </c>
      <c r="M14" s="1" t="s">
        <v>41</v>
      </c>
    </row>
    <row r="15" spans="1:13" x14ac:dyDescent="0.25">
      <c r="A15" t="s">
        <v>6</v>
      </c>
      <c r="B15" s="2">
        <v>51</v>
      </c>
      <c r="C15" s="2">
        <f>COUNTIF(D15:M15,"X")/10</f>
        <v>0.2</v>
      </c>
      <c r="D15" s="1" t="s">
        <v>41</v>
      </c>
      <c r="H15" s="1" t="s">
        <v>41</v>
      </c>
    </row>
    <row r="16" spans="1:13" x14ac:dyDescent="0.25">
      <c r="A16" t="s">
        <v>30</v>
      </c>
      <c r="B16" s="2">
        <v>4091</v>
      </c>
      <c r="C16" s="2">
        <f>COUNTIF(D16:M16,"X")/10</f>
        <v>0.2</v>
      </c>
      <c r="L16" s="1" t="s">
        <v>41</v>
      </c>
      <c r="M16" s="1" t="s">
        <v>41</v>
      </c>
    </row>
    <row r="17" spans="1:13" x14ac:dyDescent="0.25">
      <c r="A17" t="s">
        <v>17</v>
      </c>
      <c r="B17" s="2">
        <v>44631884</v>
      </c>
      <c r="C17" s="2">
        <f>COUNTIF(D17:M17,"X")/10</f>
        <v>0.2</v>
      </c>
      <c r="F17" s="1" t="s">
        <v>41</v>
      </c>
      <c r="I17" s="1" t="s">
        <v>41</v>
      </c>
    </row>
    <row r="18" spans="1:13" x14ac:dyDescent="0.25">
      <c r="A18" t="s">
        <v>28</v>
      </c>
      <c r="B18" s="2">
        <v>12035</v>
      </c>
      <c r="C18" s="2">
        <f>COUNTIF(D18:M18,"X")/5</f>
        <v>0.2</v>
      </c>
      <c r="D18" s="8" t="s">
        <v>44</v>
      </c>
      <c r="E18" s="8" t="s">
        <v>44</v>
      </c>
      <c r="F18" s="8" t="s">
        <v>44</v>
      </c>
      <c r="G18" s="8" t="s">
        <v>44</v>
      </c>
      <c r="H18" s="8" t="s">
        <v>44</v>
      </c>
      <c r="I18" s="1" t="s">
        <v>41</v>
      </c>
    </row>
    <row r="19" spans="1:13" x14ac:dyDescent="0.25">
      <c r="A19" t="s">
        <v>2</v>
      </c>
      <c r="B19" s="2">
        <v>2540</v>
      </c>
      <c r="C19" s="2">
        <f>COUNTIF(D19:M19,"X")/10</f>
        <v>0.1</v>
      </c>
      <c r="D19" s="1" t="s">
        <v>41</v>
      </c>
    </row>
    <row r="20" spans="1:13" x14ac:dyDescent="0.25">
      <c r="A20" t="s">
        <v>3</v>
      </c>
      <c r="B20" s="2">
        <v>44093</v>
      </c>
      <c r="C20" s="2">
        <f>COUNTIF(D20:M20,"X")/10</f>
        <v>0.1</v>
      </c>
      <c r="K20" s="1" t="s">
        <v>41</v>
      </c>
    </row>
    <row r="21" spans="1:13" x14ac:dyDescent="0.25">
      <c r="A21" t="s">
        <v>4</v>
      </c>
      <c r="B21" s="2">
        <v>23712772</v>
      </c>
      <c r="C21" s="2">
        <f>COUNTIF(D21:M21,"X")/10</f>
        <v>0.1</v>
      </c>
      <c r="D21" s="1" t="s">
        <v>41</v>
      </c>
    </row>
    <row r="22" spans="1:13" x14ac:dyDescent="0.25">
      <c r="A22" t="s">
        <v>11</v>
      </c>
      <c r="B22" s="2">
        <v>936</v>
      </c>
      <c r="C22" s="2">
        <f>COUNTIF(D22:M22,"X")/10</f>
        <v>0.1</v>
      </c>
      <c r="D22" s="1" t="s">
        <v>41</v>
      </c>
    </row>
    <row r="23" spans="1:13" x14ac:dyDescent="0.25">
      <c r="A23" t="s">
        <v>22</v>
      </c>
      <c r="B23" s="2">
        <v>638877</v>
      </c>
      <c r="C23" s="2">
        <f>COUNTIF(D23:M23,"X")/10</f>
        <v>0.2</v>
      </c>
      <c r="H23" s="1" t="s">
        <v>41</v>
      </c>
      <c r="M23" s="1" t="s">
        <v>41</v>
      </c>
    </row>
    <row r="24" spans="1:13" x14ac:dyDescent="0.25">
      <c r="A24" t="s">
        <v>16</v>
      </c>
      <c r="B24" s="2">
        <v>5321010</v>
      </c>
      <c r="C24" s="2">
        <f>COUNTIF(D24:M24,"X")/10</f>
        <v>0.2</v>
      </c>
      <c r="E24" s="1" t="s">
        <v>41</v>
      </c>
      <c r="K24" s="1" t="s">
        <v>41</v>
      </c>
    </row>
    <row r="25" spans="1:13" x14ac:dyDescent="0.25">
      <c r="A25" t="s">
        <v>23</v>
      </c>
      <c r="B25" s="2">
        <v>864</v>
      </c>
      <c r="C25" s="2">
        <f>COUNTIF(D25:M25,"X")/10</f>
        <v>0.1</v>
      </c>
      <c r="H25" s="1" t="s">
        <v>41</v>
      </c>
    </row>
    <row r="26" spans="1:13" x14ac:dyDescent="0.25">
      <c r="A26" t="s">
        <v>20</v>
      </c>
      <c r="B26" s="2">
        <v>5280489</v>
      </c>
      <c r="C26" s="2">
        <f>COUNTIF(D26:M26,"X")/10</f>
        <v>0.1</v>
      </c>
      <c r="G26" s="1" t="s">
        <v>41</v>
      </c>
    </row>
    <row r="27" spans="1:13" x14ac:dyDescent="0.25">
      <c r="A27" t="s">
        <v>27</v>
      </c>
      <c r="B27" s="2">
        <v>2719</v>
      </c>
      <c r="C27" s="2">
        <f>COUNTIF(D27:M27,"X")/10</f>
        <v>0.1</v>
      </c>
      <c r="I27" s="1" t="s">
        <v>41</v>
      </c>
    </row>
    <row r="28" spans="1:13" x14ac:dyDescent="0.25">
      <c r="A28" t="s">
        <v>13</v>
      </c>
      <c r="B28" s="2">
        <v>3598</v>
      </c>
      <c r="C28" s="2">
        <f>COUNTIF(D28:M28,"X")/10</f>
        <v>0.1</v>
      </c>
      <c r="D28" s="1" t="s">
        <v>41</v>
      </c>
    </row>
    <row r="29" spans="1:13" x14ac:dyDescent="0.25">
      <c r="A29" t="s">
        <v>26</v>
      </c>
      <c r="B29" s="2">
        <v>6137</v>
      </c>
      <c r="C29" s="2">
        <f>COUNTIF(D29:M29,"X")/10</f>
        <v>0.1</v>
      </c>
      <c r="I29" s="1" t="s">
        <v>41</v>
      </c>
    </row>
    <row r="30" spans="1:13" x14ac:dyDescent="0.25">
      <c r="A30" t="s">
        <v>29</v>
      </c>
      <c r="B30" s="2">
        <v>4534</v>
      </c>
      <c r="C30" s="2">
        <f>COUNTIF(D30:M30,"X")/10</f>
        <v>0.1</v>
      </c>
      <c r="J30" s="1" t="s">
        <v>41</v>
      </c>
    </row>
    <row r="31" spans="1:13" x14ac:dyDescent="0.25">
      <c r="A31" t="s">
        <v>10</v>
      </c>
      <c r="B31" s="2">
        <v>5280343</v>
      </c>
      <c r="C31" s="2">
        <f>COUNTIF(D31:M31,"X")/10</f>
        <v>0.1</v>
      </c>
      <c r="D31" s="1" t="s">
        <v>41</v>
      </c>
    </row>
    <row r="32" spans="1:13" x14ac:dyDescent="0.25">
      <c r="A32" t="s">
        <v>7</v>
      </c>
      <c r="B32" s="2">
        <v>1548887</v>
      </c>
      <c r="C32" s="2">
        <f>COUNTIF(D32:M32,"X")/10</f>
        <v>0.1</v>
      </c>
      <c r="D32" s="1" t="s">
        <v>41</v>
      </c>
    </row>
    <row r="33" spans="1:13" x14ac:dyDescent="0.25">
      <c r="A33" t="s">
        <v>46</v>
      </c>
      <c r="B33" s="2">
        <v>5941</v>
      </c>
      <c r="C33" s="2">
        <f>COUNTIF(D33:M33,"X")/10</f>
        <v>0.1</v>
      </c>
      <c r="M33" s="1" t="s">
        <v>41</v>
      </c>
    </row>
    <row r="34" spans="1:13" x14ac:dyDescent="0.25">
      <c r="A34" t="s">
        <v>47</v>
      </c>
      <c r="B34" s="2">
        <v>1983</v>
      </c>
      <c r="C34" s="2">
        <f>COUNTIF(D34:M34,"X")/10</f>
        <v>0.1</v>
      </c>
      <c r="M34" s="1" t="s">
        <v>41</v>
      </c>
    </row>
    <row r="35" spans="1:13" x14ac:dyDescent="0.25">
      <c r="A35" t="s">
        <v>1</v>
      </c>
      <c r="B35" s="2">
        <v>750</v>
      </c>
      <c r="C35" s="2">
        <f>COUNTIF(D35:M35,"X")/10</f>
        <v>0.1</v>
      </c>
      <c r="K35" s="1" t="s">
        <v>41</v>
      </c>
    </row>
  </sheetData>
  <sortState xmlns:xlrd2="http://schemas.microsoft.com/office/spreadsheetml/2017/richdata2" ref="A1:M34">
    <sortCondition descending="1" ref="C12"/>
  </sortState>
  <mergeCells count="4">
    <mergeCell ref="D1:M1"/>
    <mergeCell ref="C1:C2"/>
    <mergeCell ref="B1:B2"/>
    <mergeCell ref="A1:A2"/>
  </mergeCells>
  <conditionalFormatting sqref="M3:M6 M20:M21 M16 D3:L35">
    <cfRule type="cellIs" dxfId="5" priority="6" operator="equal">
      <formula>"X"</formula>
    </cfRule>
  </conditionalFormatting>
  <conditionalFormatting sqref="M14:M18">
    <cfRule type="cellIs" dxfId="4" priority="2" operator="equal">
      <formula>"X"</formula>
    </cfRule>
  </conditionalFormatting>
  <conditionalFormatting sqref="M23">
    <cfRule type="cellIs" dxfId="3" priority="1" operator="equal">
      <formula>"X"</formula>
    </cfRule>
  </conditionalFormatting>
  <conditionalFormatting sqref="M26">
    <cfRule type="cellIs" dxfId="2" priority="4" operator="equal">
      <formula>"X"</formula>
    </cfRule>
  </conditionalFormatting>
  <conditionalFormatting sqref="M28">
    <cfRule type="cellIs" dxfId="1" priority="3" operator="equal">
      <formula>"X"</formula>
    </cfRule>
  </conditionalFormatting>
  <conditionalFormatting sqref="M32:M34">
    <cfRule type="cellIs" dxfId="0" priority="5" operator="equal">
      <formula>"X"</formula>
    </cfRule>
  </conditionalFormatting>
  <pageMargins left="0.7" right="0.7" top="0.75" bottom="0.75" header="0.3" footer="0.3"/>
  <ignoredErrors>
    <ignoredError sqref="C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False-positive 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Ribeiro</dc:creator>
  <cp:lastModifiedBy>Caio Ribeiro</cp:lastModifiedBy>
  <dcterms:created xsi:type="dcterms:W3CDTF">2024-04-10T14:49:06Z</dcterms:created>
  <dcterms:modified xsi:type="dcterms:W3CDTF">2026-04-26T14:05:26Z</dcterms:modified>
</cp:coreProperties>
</file>